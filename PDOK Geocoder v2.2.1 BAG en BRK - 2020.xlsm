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812" codeName="{00000000-0000-0000-0000-000000000000}"/>
  <workbookPr codeName="ThisWorkbook"/>
  <mc:AlternateContent xmlns:mc="http://schemas.openxmlformats.org/markup-compatibility/2006">
    <mc:Choice Requires="x15">
      <x15ac:absPath xmlns:x15ac="http://schemas.microsoft.com/office/spreadsheetml/2010/11/ac" url="https://d.docs.live.net/71395ce4f3837fac/Documents/Werk/Geo/"/>
    </mc:Choice>
  </mc:AlternateContent>
  <xr:revisionPtr revIDLastSave="0" documentId="8_{505AF7AE-2F01-4190-9F8F-2624BFA335A4}" xr6:coauthVersionLast="45" xr6:coauthVersionMax="45" xr10:uidLastSave="{00000000-0000-0000-0000-000000000000}"/>
  <bookViews>
    <workbookView xWindow="-120" yWindow="-120" windowWidth="29040" windowHeight="15840" xr2:uid="{00000000-000D-0000-FFFF-FFFF00000000}"/>
  </bookViews>
  <sheets>
    <sheet name="PostcodeAdres GeoCoder" sheetId="15" r:id="rId1"/>
    <sheet name="XML BAG" sheetId="16" r:id="rId2"/>
    <sheet name="BRK Geocoder" sheetId="17" r:id="rId3"/>
    <sheet name="XML BRK" sheetId="18" r:id="rId4"/>
  </sheets>
  <externalReferences>
    <externalReference r:id="rId5"/>
  </externalReferences>
  <definedNames>
    <definedName name="_ecc4">#REF!</definedName>
    <definedName name="_ecc6">#REF!</definedName>
    <definedName name="AHN1_100mWMS">'PostcodeAdres GeoCoder'!#REF!</definedName>
    <definedName name="AHN2WMS">'PostcodeAdres GeoCoder'!#REF!</definedName>
    <definedName name="BagGeocoder">'PostcodeAdres GeoCoder'!#REF!</definedName>
    <definedName name="BagPandWfs">'PostcodeAdres GeoCoder'!#REF!</definedName>
    <definedName name="BagPandWms">'PostcodeAdres GeoCoder'!#REF!</definedName>
    <definedName name="BagVobjWfs">'PostcodeAdres GeoCoder'!#REF!</definedName>
    <definedName name="BagVobjWms">'PostcodeAdres GeoCoder'!#REF!</definedName>
    <definedName name="BrkWfs">'PostcodeAdres GeoCoder'!#REF!</definedName>
    <definedName name="BrkWms">'PostcodeAdres GeoCoder'!#REF!</definedName>
    <definedName name="CBSBuurten">'PostcodeAdres GeoCoder'!#REF!</definedName>
    <definedName name="CBSWijken">'PostcodeAdres GeoCoder'!#REF!</definedName>
    <definedName name="Convert">[1]Conversion!$B$2</definedName>
    <definedName name="DDMVisable">[1]Waypoints!$AG$2</definedName>
    <definedName name="DDVisable">[1]Waypoints!$AH$2</definedName>
    <definedName name="Desc">[1]Waypoints!$AA$2</definedName>
    <definedName name="DescVisable">[1]Waypoints!$AK$2</definedName>
    <definedName name="DistVisible">[1]Waypoints!$AN$2</definedName>
    <definedName name="DMDVisable">[1]Waypoints!$AG$2</definedName>
    <definedName name="DMSVisable">[1]Waypoints!$AF$2</definedName>
    <definedName name="DMVisable">[1]Waypoints!$AG$2</definedName>
    <definedName name="EasyGPS">[1]Waypoints!$AC$2</definedName>
    <definedName name="ecc2sq">#REF!</definedName>
    <definedName name="eccsc">#REF!</definedName>
    <definedName name="ExportTable">[1]Waypoints!$B$5</definedName>
    <definedName name="ExportType">[1]Waypoints!$AE$2</definedName>
    <definedName name="FAQs">[1]FAQs!$C$3</definedName>
    <definedName name="FileName">[1]Waypoints!$AB$2</definedName>
    <definedName name="FileOnly">[1]Waypoints!$AD$2</definedName>
    <definedName name="ImportFileName">[1]Waypoints!$AP$2</definedName>
    <definedName name="ImportType">[1]Waypoints!$AO$2</definedName>
    <definedName name="InLatDegDecimal">[1]Conversion!$C$8</definedName>
    <definedName name="InLatDMDDeg">[1]Conversion!$C$6</definedName>
    <definedName name="InLatDMDMins">[1]Conversion!$D$6</definedName>
    <definedName name="InLatDMSDeg">[1]Conversion!$C$4</definedName>
    <definedName name="InLatDMSMins">[1]Conversion!$D$4</definedName>
    <definedName name="InLatDMSNS">[1]Conversion!$F$4</definedName>
    <definedName name="InLatDMSSecs">[1]Conversion!$E$4</definedName>
    <definedName name="InLongDegDecimal">[1]Conversion!$C$16</definedName>
    <definedName name="InLongDMDDeg">[1]Conversion!$C$14</definedName>
    <definedName name="InLongDMDMin">[1]Conversion!$D$14</definedName>
    <definedName name="InLongDMSDeg">[1]Conversion!$C$12</definedName>
    <definedName name="InLongDMSEW">[1]Conversion!$F$12</definedName>
    <definedName name="InLongDMSMins">[1]Conversion!$D$12</definedName>
    <definedName name="InLongDMSSecs">[1]Conversion!$E$12</definedName>
    <definedName name="InPcodeLat">[1]Conversion!$J$37</definedName>
    <definedName name="InPcodeLong">[1]Conversion!$J$38</definedName>
    <definedName name="InPcodeUKGrid">[1]Conversion!$J$36</definedName>
    <definedName name="InUKGrid">[1]Conversion!$C$28</definedName>
    <definedName name="InUKGridActive">[1]Conversion!$H$28</definedName>
    <definedName name="InUKPCodeActive">[1]Conversion!$H$32</definedName>
    <definedName name="InUKPostCode">[1]Conversion!$C$32</definedName>
    <definedName name="InUTMEasting">[1]Conversion!$C$23</definedName>
    <definedName name="INUTMNorthing">[1]Conversion!$E$23</definedName>
    <definedName name="InUTMZone">[1]Conversion!$C$20</definedName>
    <definedName name="LatArrayOrigin">#REF!</definedName>
    <definedName name="LatDDecActive">[1]Conversion!$H$8</definedName>
    <definedName name="LatDMDActive">[1]Conversion!$H$6</definedName>
    <definedName name="LatDMSActive">[1]Conversion!$H$4</definedName>
    <definedName name="LatNegativeDegrees">[1]Conversion!$J$6</definedName>
    <definedName name="LatOutDD">[1]Conversion!$I$8</definedName>
    <definedName name="LongArrayOrigin">#REF!</definedName>
    <definedName name="LongDDecActive">[1]Conversion!$H$16</definedName>
    <definedName name="LongDMDActive">[1]Conversion!$H$14</definedName>
    <definedName name="LongDMSActive">[1]Conversion!$H$12</definedName>
    <definedName name="LongNegativeDegrees">[1]Conversion!$J$14</definedName>
    <definedName name="LongNegZero">[1]Conversion!$J$19</definedName>
    <definedName name="LongOutDD">[1]Conversion!$I$16</definedName>
    <definedName name="LongWest">[1]Conversion!$J$18</definedName>
    <definedName name="MajorAxis">#REF!</definedName>
    <definedName name="majsc">#REF!</definedName>
    <definedName name="MinorAxis">#REF!</definedName>
    <definedName name="minsc">#REF!</definedName>
    <definedName name="Molod_Da">#REF!</definedName>
    <definedName name="Molod_Df">#REF!</definedName>
    <definedName name="Molod_Dx">#REF!</definedName>
    <definedName name="Molod_Dy">#REF!</definedName>
    <definedName name="Molod_Dz">#REF!</definedName>
    <definedName name="molod_WGS84_a">#REF!</definedName>
    <definedName name="molod_WGS84_f">#REF!</definedName>
    <definedName name="OrignA1">#REF!</definedName>
    <definedName name="OrignA2">#REF!</definedName>
    <definedName name="OrignA3">#REF!</definedName>
    <definedName name="OrignA4">#REF!</definedName>
    <definedName name="OrignA5">#REF!</definedName>
    <definedName name="OrignA6">#REF!</definedName>
    <definedName name="OrignA7">#REF!</definedName>
    <definedName name="Orignetas">#REF!</definedName>
    <definedName name="Orignetasc">#REF!</definedName>
    <definedName name="OrignL">#REF!</definedName>
    <definedName name="OrignLati">#REF!</definedName>
    <definedName name="OrignLongi">#REF!</definedName>
    <definedName name="OrignLsq">#REF!</definedName>
    <definedName name="OrignM">#REF!</definedName>
    <definedName name="Orignnu">#REF!</definedName>
    <definedName name="Orignnu1">#REF!</definedName>
    <definedName name="Orignnu2">#REF!</definedName>
    <definedName name="OrignOeastingIndex">#REF!</definedName>
    <definedName name="OrignOSNorthingIndex">#REF!</definedName>
    <definedName name="Orignt">#REF!</definedName>
    <definedName name="Origntsq">#REF!</definedName>
    <definedName name="OSEastingOrigin">#REF!</definedName>
    <definedName name="OSNorthingOrigin">#REF!</definedName>
    <definedName name="OutLatDMDDeg">[1]Conversion!$I$6</definedName>
    <definedName name="OutLatDMDMins">[1]Conversion!$K$6</definedName>
    <definedName name="OutLatDMSDeg">[1]Conversion!$I$4</definedName>
    <definedName name="OutLatDmsMins">[1]Conversion!$K$4</definedName>
    <definedName name="OutLatDMSMinsDec">[1]Conversion!$J$4</definedName>
    <definedName name="OutLatDMSNS">[1]Conversion!$M$4</definedName>
    <definedName name="OutLatDMSSecs">[1]Conversion!$L$4</definedName>
    <definedName name="OutLongDMDDeg">[1]Conversion!$I$14</definedName>
    <definedName name="OutLongDMDMin">[1]Conversion!$K$14</definedName>
    <definedName name="OutLongDMSDeg">[1]Conversion!$I$12</definedName>
    <definedName name="OutLongDMSEW">[1]Conversion!$M$12</definedName>
    <definedName name="OutLongDMSMins">[1]Conversion!$K$12</definedName>
    <definedName name="OutLongDMSMinsDec">[1]Conversion!$J$12</definedName>
    <definedName name="OutLongDMSSecs">[1]Conversion!$L$12</definedName>
    <definedName name="OutUKGrid">[1]Conversion!$I$30</definedName>
    <definedName name="OutUKGrid8">[1]Conversion!$K$30</definedName>
    <definedName name="OutUKGrid8ErrHand">[1]Conversion!$K$31</definedName>
    <definedName name="OutUKGridLat">[1]Conversion!$J$30</definedName>
    <definedName name="OutUKGridLong">[1]Conversion!$J$33</definedName>
    <definedName name="OutUTMEasting">[1]Conversion!$I$23</definedName>
    <definedName name="OutUTMNorthing">[1]Conversion!$K$23</definedName>
    <definedName name="OutUTMZone">[1]Conversion!$I$20</definedName>
    <definedName name="PA">#REF!</definedName>
    <definedName name="PB">#REF!</definedName>
    <definedName name="PC">#REF!</definedName>
    <definedName name="PDOKkaart">'PostcodeAdres GeoCoder'!#REF!</definedName>
    <definedName name="rad">#REF!</definedName>
    <definedName name="RefernceVisible">[1]Waypoints!$AM$2</definedName>
    <definedName name="TMScale">#REF!</definedName>
    <definedName name="UKEasting">[1]Conversion!$L$30</definedName>
    <definedName name="UKGridFirstSpace">[1]Conversion!$H$29</definedName>
    <definedName name="UKGridSecondSpace">[1]Conversion!$H$30</definedName>
    <definedName name="UKNorthing">[1]Conversion!$M$30</definedName>
    <definedName name="UKPCodeSpace">[1]Conversion!$H$33</definedName>
    <definedName name="UKVisable">[1]Waypoints!$AJ$2</definedName>
    <definedName name="UnitsMetric">[1]Waypoints!$AQ$2</definedName>
    <definedName name="UnitsStatute">[1]Waypoints!$AR$2</definedName>
    <definedName name="UTMActive">[1]Conversion!$H$20</definedName>
    <definedName name="UTMVisable">[1]Waypoints!$AI$2</definedName>
    <definedName name="WaypointVisable">[1]Waypoints!$AL$2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8" i="15" l="1"/>
  <c r="C17" i="15"/>
  <c r="C16" i="15"/>
  <c r="C15" i="15"/>
  <c r="C14" i="15"/>
  <c r="C13" i="15"/>
  <c r="C12" i="15"/>
  <c r="E12" i="15"/>
  <c r="E14" i="15"/>
  <c r="E15" i="15"/>
  <c r="E17" i="15"/>
  <c r="E16" i="15"/>
  <c r="E18" i="15"/>
  <c r="E13" i="15"/>
  <c r="B14" i="17" l="1"/>
  <c r="B15" i="17"/>
  <c r="B16" i="17"/>
  <c r="B17" i="17"/>
  <c r="B18" i="17"/>
  <c r="B9" i="18"/>
  <c r="B18" i="18"/>
  <c r="C18" i="17"/>
  <c r="E17" i="17"/>
  <c r="E14" i="17"/>
  <c r="B19" i="18"/>
  <c r="B6" i="16"/>
  <c r="B8" i="16"/>
  <c r="C14" i="17"/>
  <c r="E18" i="17"/>
  <c r="B14" i="18"/>
  <c r="B12" i="18"/>
  <c r="C16" i="17"/>
  <c r="E15" i="17"/>
  <c r="E16" i="17"/>
  <c r="B15" i="18"/>
  <c r="D14" i="17"/>
  <c r="B10" i="18"/>
  <c r="B16" i="18"/>
  <c r="C17" i="17"/>
  <c r="D17" i="17" s="1"/>
  <c r="B17" i="18"/>
  <c r="C15" i="17"/>
  <c r="B7" i="16"/>
  <c r="B13" i="18"/>
  <c r="B11" i="18"/>
  <c r="D15" i="17"/>
  <c r="C7" i="16"/>
  <c r="C8" i="16"/>
  <c r="C13" i="18"/>
  <c r="D16" i="17"/>
  <c r="C18" i="18"/>
  <c r="C12" i="18"/>
  <c r="F17" i="17"/>
  <c r="C6" i="16"/>
  <c r="G16" i="17"/>
  <c r="G15" i="17"/>
  <c r="D18" i="17"/>
  <c r="C16" i="18"/>
  <c r="C17" i="18"/>
  <c r="F18" i="17"/>
  <c r="F14" i="17"/>
  <c r="C15" i="18"/>
  <c r="G18" i="17"/>
  <c r="C9" i="18"/>
  <c r="G17" i="17"/>
  <c r="C10" i="18"/>
  <c r="F15" i="17"/>
  <c r="C14" i="18"/>
  <c r="F16" i="17"/>
  <c r="G14" i="17"/>
  <c r="C11" i="18"/>
  <c r="B29" i="16"/>
  <c r="B32" i="16"/>
  <c r="B39" i="16"/>
  <c r="B37" i="16"/>
  <c r="B41" i="16"/>
  <c r="B30" i="16"/>
  <c r="B20" i="16"/>
  <c r="B25" i="16"/>
  <c r="B38" i="16"/>
  <c r="B31" i="16"/>
  <c r="B21" i="16"/>
  <c r="B17" i="16"/>
  <c r="B28" i="16"/>
  <c r="B27" i="16"/>
  <c r="B19" i="16"/>
  <c r="B40" i="16"/>
  <c r="B13" i="16"/>
  <c r="B36" i="16"/>
  <c r="B23" i="16"/>
  <c r="B24" i="16"/>
  <c r="B15" i="16"/>
  <c r="B18" i="16"/>
  <c r="B34" i="16"/>
  <c r="B14" i="16"/>
  <c r="B26" i="16"/>
  <c r="B16" i="16"/>
  <c r="B22" i="16"/>
  <c r="B33" i="16"/>
  <c r="B35" i="16"/>
  <c r="C35" i="16"/>
  <c r="C28" i="16"/>
  <c r="C37" i="16"/>
  <c r="C33" i="16"/>
  <c r="C22" i="16"/>
  <c r="C23" i="16"/>
  <c r="C21" i="16"/>
  <c r="C39" i="16"/>
  <c r="C31" i="16"/>
  <c r="C32" i="16"/>
  <c r="C29" i="16"/>
  <c r="C16" i="16"/>
  <c r="C36" i="16"/>
  <c r="C13" i="16"/>
  <c r="C26" i="16"/>
  <c r="C14" i="16"/>
  <c r="C40" i="16"/>
  <c r="C25" i="16"/>
  <c r="C24" i="16"/>
  <c r="C34" i="16"/>
  <c r="C19" i="16"/>
  <c r="C20" i="16"/>
  <c r="C17" i="16"/>
  <c r="C18" i="16"/>
  <c r="C27" i="16"/>
  <c r="C30" i="16"/>
  <c r="C15" i="16"/>
  <c r="C41" i="16"/>
  <c r="C38" i="16"/>
  <c r="D18" i="15"/>
  <c r="F18" i="15"/>
  <c r="G18" i="15"/>
  <c r="H18" i="15"/>
  <c r="I18" i="15" s="1"/>
  <c r="L18" i="15"/>
  <c r="N18" i="15" s="1"/>
  <c r="M18" i="15"/>
  <c r="D15" i="15"/>
  <c r="F15" i="15"/>
  <c r="K18" i="15"/>
  <c r="J18" i="15"/>
  <c r="O18" i="15"/>
  <c r="G15" i="15"/>
  <c r="H15" i="15"/>
  <c r="I15" i="15" s="1"/>
  <c r="L15" i="15"/>
  <c r="N15" i="15" s="1"/>
  <c r="M15" i="15"/>
  <c r="D16" i="15"/>
  <c r="F16" i="15"/>
  <c r="K15" i="15"/>
  <c r="J15" i="15"/>
  <c r="O15" i="15"/>
  <c r="G16" i="15"/>
  <c r="H16" i="15"/>
  <c r="I16" i="15" s="1"/>
  <c r="L16" i="15"/>
  <c r="N16" i="15" s="1"/>
  <c r="M16" i="15"/>
  <c r="D14" i="15"/>
  <c r="F14" i="15"/>
  <c r="K16" i="15"/>
  <c r="J16" i="15"/>
  <c r="O16" i="15"/>
  <c r="G14" i="15"/>
  <c r="H14" i="15"/>
  <c r="I14" i="15" s="1"/>
  <c r="L14" i="15"/>
  <c r="N14" i="15" s="1"/>
  <c r="M14" i="15"/>
  <c r="D17" i="15"/>
  <c r="F17" i="15"/>
  <c r="K14" i="15"/>
  <c r="J14" i="15"/>
  <c r="O14" i="15"/>
  <c r="G17" i="15"/>
  <c r="H17" i="15"/>
  <c r="I17" i="15" s="1"/>
  <c r="L17" i="15"/>
  <c r="N17" i="15" s="1"/>
  <c r="M17" i="15"/>
  <c r="D12" i="15"/>
  <c r="F12" i="15"/>
  <c r="K17" i="15"/>
  <c r="J17" i="15"/>
  <c r="O17" i="15"/>
  <c r="G12" i="15"/>
  <c r="H12" i="15"/>
  <c r="I12" i="15" s="1"/>
  <c r="L12" i="15"/>
  <c r="N12" i="15" s="1"/>
  <c r="M12" i="15"/>
  <c r="D13" i="15"/>
  <c r="F13" i="15"/>
  <c r="K12" i="15"/>
  <c r="J12" i="15"/>
  <c r="O12" i="15"/>
  <c r="G13" i="15"/>
  <c r="H13" i="15"/>
  <c r="I13" i="15" s="1"/>
  <c r="L13" i="15"/>
  <c r="N13" i="15" s="1"/>
  <c r="M13" i="15"/>
  <c r="K13" i="15"/>
  <c r="J13" i="15"/>
  <c r="O13"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Baltussen, ing. J.T.M. (Jeroen)</author>
  </authors>
  <commentList>
    <comment ref="A1" authorId="0" shapeId="0" xr:uid="{00000000-0006-0000-0000-000001000000}">
      <text>
        <r>
          <rPr>
            <b/>
            <sz val="8"/>
            <color indexed="81"/>
            <rFont val="Tahoma"/>
            <family val="2"/>
          </rPr>
          <t>Baltussen, ing. J.T.M. (Jeroen):</t>
        </r>
        <r>
          <rPr>
            <sz val="8"/>
            <color indexed="81"/>
            <rFont val="Tahoma"/>
            <family val="2"/>
          </rPr>
          <t xml:space="preserve">
Dit spreadsheet is gemaakt om zelf mbv van postcode huisnr. RD-coordinaten op te zoeken via de gratis LocatieServer van PDOK.
Via deze methode zijn in principe ook andere PDOK kaart services aan te spreken.
Hiervoor is ook een voorbeeld spreadsheet aanwezig. Opmerkingen en verbetervoorstellen zijn welkom.
mail: j.baltussen@geonovum.nl
Het 'geheim' van dit spreadsheet zit in de formule 'FilterXMLWebservice'. Deze formule is gemaakt in VBA om een webservice te bevragen en het XML-antwoord binnen Excel te kunnen verwerken.
Het volgnr in de XML bepaalt de waarde van het opgevraagde attribuut (bv //str[@name='straatnaam'] is straatnaam), zie blad XML ...
</t>
        </r>
      </text>
    </comment>
    <comment ref="F11" authorId="0" shapeId="0" xr:uid="{00000000-0006-0000-0000-000002000000}">
      <text>
        <r>
          <rPr>
            <b/>
            <sz val="8"/>
            <color indexed="81"/>
            <rFont val="Tahoma"/>
            <family val="2"/>
          </rPr>
          <t>Baltussen, ing. J.T.M. (Jeroen):</t>
        </r>
        <r>
          <rPr>
            <sz val="8"/>
            <color indexed="81"/>
            <rFont val="Tahoma"/>
            <family val="2"/>
          </rPr>
          <t xml:space="preserve">
ID van het record in de LocatiesServer. ID is technische sleutel en heeft verder geen betekenis of is vaste referentie.</t>
        </r>
      </text>
    </comment>
    <comment ref="I11" authorId="0" shapeId="0" xr:uid="{00000000-0006-0000-0000-000003000000}">
      <text>
        <r>
          <rPr>
            <b/>
            <sz val="8"/>
            <color indexed="81"/>
            <rFont val="Tahoma"/>
            <family val="2"/>
          </rPr>
          <t>Baltussen, ing. J.T.M. (Jeroen):</t>
        </r>
        <r>
          <rPr>
            <sz val="8"/>
            <color indexed="81"/>
            <rFont val="Tahoma"/>
            <family val="2"/>
          </rPr>
          <t xml:space="preserve">
Punt van het addresseerbaar object uit de BAG
</t>
        </r>
      </text>
    </comment>
    <comment ref="J11" authorId="0" shapeId="0" xr:uid="{00000000-0006-0000-0000-000004000000}">
      <text>
        <r>
          <rPr>
            <b/>
            <sz val="8"/>
            <color indexed="81"/>
            <rFont val="Tahoma"/>
            <family val="2"/>
          </rPr>
          <t>Baltussen, ing. J.T.M. (Jeroen):</t>
        </r>
        <r>
          <rPr>
            <sz val="8"/>
            <color indexed="81"/>
            <rFont val="Tahoma"/>
            <family val="2"/>
          </rPr>
          <t xml:space="preserve">
Rijksdriehoek Coordinaten</t>
        </r>
      </text>
    </comment>
    <comment ref="K11" authorId="0" shapeId="0" xr:uid="{00000000-0006-0000-0000-000005000000}">
      <text>
        <r>
          <rPr>
            <b/>
            <sz val="8"/>
            <color indexed="81"/>
            <rFont val="Tahoma"/>
            <family val="2"/>
          </rPr>
          <t>Baltussen, ing. J.T.M. (Jeroen):</t>
        </r>
        <r>
          <rPr>
            <sz val="8"/>
            <color indexed="81"/>
            <rFont val="Tahoma"/>
            <family val="2"/>
          </rPr>
          <t xml:space="preserve">
Rijksdriehoek Coordinaten</t>
        </r>
      </text>
    </comment>
    <comment ref="L11" authorId="0" shapeId="0" xr:uid="{00000000-0006-0000-0000-000006000000}">
      <text>
        <r>
          <rPr>
            <b/>
            <sz val="8"/>
            <color indexed="81"/>
            <rFont val="Tahoma"/>
            <family val="2"/>
          </rPr>
          <t>Baltussen, ing. J.T.M. (Jeroen):</t>
        </r>
        <r>
          <rPr>
            <sz val="8"/>
            <color indexed="81"/>
            <rFont val="Tahoma"/>
            <family val="2"/>
          </rPr>
          <t xml:space="preserve">
Punt van het addresseerbaar object uit de BAG
</t>
        </r>
      </text>
    </comment>
    <comment ref="M11" authorId="0" shapeId="0" xr:uid="{00000000-0006-0000-0000-000007000000}">
      <text>
        <r>
          <rPr>
            <b/>
            <sz val="8"/>
            <color indexed="81"/>
            <rFont val="Tahoma"/>
            <family val="2"/>
          </rPr>
          <t>Baltussen, ing. J.T.M. (Jeroen):</t>
        </r>
        <r>
          <rPr>
            <sz val="8"/>
            <color indexed="81"/>
            <rFont val="Tahoma"/>
            <family val="2"/>
          </rPr>
          <t xml:space="preserve">
Rijksdriehoek Coordinaten</t>
        </r>
      </text>
    </comment>
    <comment ref="N11" authorId="0" shapeId="0" xr:uid="{00000000-0006-0000-0000-000008000000}">
      <text>
        <r>
          <rPr>
            <b/>
            <sz val="8"/>
            <color indexed="81"/>
            <rFont val="Tahoma"/>
            <family val="2"/>
          </rPr>
          <t>Baltussen, ing. J.T.M. (Jeroen):</t>
        </r>
        <r>
          <rPr>
            <sz val="8"/>
            <color indexed="81"/>
            <rFont val="Tahoma"/>
            <family val="2"/>
          </rPr>
          <t xml:space="preserve">
Rijksdriehoek Coordinaten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Baltussen, ing. J.T.M. (Jeroen)</author>
  </authors>
  <commentList>
    <comment ref="C4" authorId="0" shapeId="0" xr:uid="{00000000-0006-0000-0100-000001000000}">
      <text>
        <r>
          <rPr>
            <b/>
            <sz val="9"/>
            <color indexed="81"/>
            <rFont val="Tahoma"/>
            <family val="2"/>
          </rPr>
          <t>Baltussen, ing. J.T.M. (Jeroen):</t>
        </r>
        <r>
          <rPr>
            <sz val="9"/>
            <color indexed="81"/>
            <rFont val="Tahoma"/>
            <family val="2"/>
          </rPr>
          <t xml:space="preserve">
&lt;response&gt;
  &lt;result name="response" numFound="1" start="0" maxScore="25.68132"&gt;
    &lt;doc&gt;
      &lt;str name="type"&gt;adres&lt;/str&gt;
      &lt;str name="weergavenaam"&gt;Laan van Westenenk 701, 7334DP Apeldoorn&lt;/str&gt;
      &lt;str name="id"&gt;adr-b78fd594f712007b916132b5c5e0480d&lt;/str&gt;
      &lt;float name="score"&gt;25.68132&lt;/float&gt;
    &lt;/doc&gt;
  &lt;/result&gt;
  &lt;lst name="highlighting"&gt;
    &lt;lst name="adr-b78fd594f712007b916132b5c5e0480d"&gt;
      &lt;arr name="suggest"&gt;
        &lt;str&gt;Laan van Westenenk &lt;b&gt;701&lt;/b&gt;, &lt;b&gt;7334&lt;/b&gt;
        &lt;b&gt;DP&lt;/b&gt; Apeldoorn&lt;/str&gt;
      &lt;/arr&gt;
    &lt;/lst&gt;&lt;/lst&gt;
    &lt;lst name="spellcheck"&gt;
      &lt;lst name="suggestions"&gt;
        &lt;lst name="7334"&gt;
          &lt;int name="numFound"&gt;4&lt;/int&gt;
          &lt;int name="startOffset"&gt;0&lt;/int&gt;
          &lt;int name="endOffset"&gt;4&lt;/int&gt;
          &lt;arr name="suggestion"&gt;
            &lt;str&gt;7234&lt;/str&gt;
            &lt;str&gt;7314&lt;/str&gt;
            &lt;str&gt;7331&lt;/str&gt;
            &lt;str&gt;7333&lt;/str&gt;
          &lt;/arr&gt;
        &lt;/lst&gt;&lt;/lst&gt;
        &lt;lst name="collations"/&gt;
      &lt;/lst&gt;
    &lt;/response&gt;
</t>
        </r>
      </text>
    </comment>
    <comment ref="C11" authorId="0" shapeId="0" xr:uid="{00000000-0006-0000-0100-000002000000}">
      <text>
        <r>
          <rPr>
            <b/>
            <sz val="9"/>
            <color indexed="81"/>
            <rFont val="Tahoma"/>
            <family val="2"/>
          </rPr>
          <t>Baltussen, ing. J.T.M. (Jeroen):</t>
        </r>
        <r>
          <rPr>
            <sz val="9"/>
            <color indexed="81"/>
            <rFont val="Tahoma"/>
            <family val="2"/>
          </rPr>
          <t xml:space="preserve">
&lt;response&gt;
  &lt;result name="response" numFound="1" start="0" maxScore="15.730354"&gt;
    &lt;doc&gt;
      &lt;str name="bron"&gt;BAG&lt;/str&gt;
      &lt;str name="woonplaatscode"&gt;3560&lt;/str&gt;
      &lt;str name="type"&gt;adres&lt;/str&gt;
      &lt;str name="woonplaatsnaam"&gt;Apeldoorn&lt;/str&gt;
      &lt;str name="wijkcode"&gt;WK020003&lt;/str&gt;
      &lt;str name="huis_nlt"&gt;701&lt;/str&gt;
      &lt;str name="openbareruimtetype"&gt;Weg&lt;/str&gt;
      &lt;str name="buurtnaam"&gt;Wernem&lt;/str&gt;
      &lt;str name="gemeentecode"&gt;0200&lt;/str&gt;
      &lt;str name="rdf_seealso"&gt;http://bag.basisregistraties.overheid.nl/bag/id/nummeraanduiding/0200200000075716&lt;/str&gt;
      &lt;str name="weergavenaam"&gt;Laan van Westenenk 701, 7334DP Apeldoorn&lt;/str&gt;
      &lt;str name="straatnaam_verkort"&gt;Laan van Westenenk&lt;/str&gt;
      &lt;str name="id"&gt;adr-b78fd594f712007b916132b5c5e0480d&lt;/str&gt;
      &lt;arr name="gekoppeld_perceel"&gt;
        &lt;str&gt;APD03-AD-4095&lt;/str&gt;
        &lt;str&gt;APD03-AD-4094&lt;/str&gt;
      &lt;/arr&gt;
      &lt;str name="gemeentenaam"&gt;Apeldoorn&lt;/str&gt;
      &lt;str name="buurtcode"&gt;BU02000311&lt;/str&gt;
      &lt;str name="wijknaam"&gt;Zuidwest&lt;/str&gt;
      &lt;str name="identificatie"&gt;0200010000130331-0200200000075716&lt;/str&gt;
      &lt;str name="openbareruimte_id"&gt;0200300022472362&lt;/str&gt;
      &lt;str name="waterschapsnaam"&gt;Vallei &amp; Veluwe&lt;/str&gt;
      &lt;str name="provinciecode"&gt;PV25&lt;/str&gt;
      &lt;str name="postcode"&gt;7334DP&lt;/str&gt;
      &lt;str name="provincienaam"&gt;Gelderland&lt;/str&gt;
      &lt;str name="centroide_ll"&gt;POINT(5.96026751 52.17971826)&lt;/str&gt;
      &lt;str name="nummeraanduiding_id"&gt;0200200000075716&lt;/str&gt;
      &lt;str name="waterschapscode"&gt;08&lt;/str&gt;
      &lt;str name="adresseerbaarobject_id"&gt;0200010000130331&lt;/str&gt;
      &lt;int name="huisnummer"&gt;701&lt;/int&gt;
      &lt;str name="provincieafkorting"&gt;GD&lt;/str&gt;
      &lt;str name="centroide_rd"&gt;POINT(194195.304 465885.902)&lt;/str&gt;
      &lt;str name="straatnaam"&gt;Laan van Westenenk&lt;/str&gt;
    &lt;/doc&gt;
  &lt;/result&gt;
&lt;/response&gt;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Baltussen, ing. J.T.M. (Jeroen)</author>
  </authors>
  <commentList>
    <comment ref="C5" authorId="0" shapeId="0" xr:uid="{00000000-0006-0000-0300-000001000000}">
      <text>
        <r>
          <rPr>
            <b/>
            <sz val="9"/>
            <color indexed="81"/>
            <rFont val="Tahoma"/>
            <family val="2"/>
          </rPr>
          <t>Baltussen, ing. J.T.M. (Jeroen):</t>
        </r>
        <r>
          <rPr>
            <sz val="9"/>
            <color indexed="81"/>
            <rFont val="Tahoma"/>
            <family val="2"/>
          </rPr>
          <t xml:space="preserve">
&lt;response&gt;
&lt;result name="response" numFound="237529" start="0" maxScore="31.97733"&gt;
&lt;doc&gt;
&lt;str name="bron"&gt;DKK&lt;/str&gt;
&lt;str name="identificatie"&gt;ZVB00-O-2204&lt;/str&gt;
&lt;arr name="kadastrale_aanduiding"&gt;
&lt;str&gt;Zevenbergen O 2204&lt;/str&gt;
&lt;str&gt;ZVB00 O 2204&lt;/str&gt;
&lt;/arr&gt;
&lt;str name="kadastrale_gemeentecode"&gt;ZVB00&lt;/str&gt;
&lt;str name="kadastrale_sectie"&gt;O&lt;/str&gt;
&lt;int name="kadastrale_grootte"&gt;34415&lt;/int&gt;
&lt;str name="type"&gt;perceel&lt;/str&gt;
&lt;int name="perceelnummer"&gt;2204&lt;/int&gt;
&lt;str name="centroide_ll"&gt;POINT(4.65174821 51.70371982)&lt;/str&gt;
&lt;str name="weergavenaam"&gt;Perceel Zevenbergen (ZVB00) O 2204&lt;/str&gt;
&lt;str name="kadastrale_gemeentenaam"&gt;Zevenbergen&lt;/str&gt;
&lt;str name="centroide_rd"&gt;POINT(104162.083 413029.67)&lt;/str&gt;
&lt;str name="id"&gt;pcl-699c0b61b6e52297061f44456ae046bb&lt;/str&gt;
&lt;float name="score"&gt;31.97733&lt;/float&gt;
&lt;/doc&gt;
&lt;/result&gt;
&lt;/response&gt;</t>
        </r>
      </text>
    </comment>
  </commentList>
</comments>
</file>

<file path=xl/sharedStrings.xml><?xml version="1.0" encoding="utf-8"?>
<sst xmlns="http://schemas.openxmlformats.org/spreadsheetml/2006/main" count="97" uniqueCount="90">
  <si>
    <t xml:space="preserve">PDOK Geocodeer-spreadsheet   </t>
  </si>
  <si>
    <t>v 2.2.1</t>
  </si>
  <si>
    <t>Jeroen Baltussen - adviseur PDOK - 19 november 2019</t>
  </si>
  <si>
    <t xml:space="preserve">Update info: </t>
  </si>
  <si>
    <t>De vernieuwde locatieserver geeft meer attributen terug, waardoor oude Excel versie niet meer werkte. Zie ook tabblad XML voor meer technische informatie.</t>
  </si>
  <si>
    <t>Tabblad toegevoegd om kadastrale nr's te geocoderen</t>
  </si>
  <si>
    <t>Opvragen met behulp van benoemde attributen, zodat het ook werkt voor opgevraagde straatnamen en/of geretourneerde postcodes</t>
  </si>
  <si>
    <t>Excel-tabellen toegevoegd, zodat formules automatisch worden gekopieerd</t>
  </si>
  <si>
    <t>Doel:</t>
  </si>
  <si>
    <t>Op basis van adres of postcode en (optioneel) huisnummer de geocoördinaten bepalen op basis van de adreslocaties in het nationaal georegister.</t>
  </si>
  <si>
    <t xml:space="preserve">Instructie: </t>
  </si>
  <si>
    <t>Kopieer adressen of postcodes en optioneel huisnummers naar kolom invoerveld 1 en/of invoerveld 2</t>
  </si>
  <si>
    <t>N.B. de API van het nationaal georegister geeft het best matchende resultaat terug, bij een onvolledig adres wordt het eerste het best overeenkomende object geretourneerd (zie onderstaande voorbeelden)</t>
  </si>
  <si>
    <t>Invoervelden</t>
  </si>
  <si>
    <t>Uitvoervelden</t>
  </si>
  <si>
    <t>RD</t>
  </si>
  <si>
    <t>LatLong</t>
  </si>
  <si>
    <t>invoerveld 1</t>
  </si>
  <si>
    <t>invoerveld 2</t>
  </si>
  <si>
    <t>suggestrequest</t>
  </si>
  <si>
    <t>weergavenaam</t>
  </si>
  <si>
    <t>suggestresult</t>
  </si>
  <si>
    <t>Suggest ID</t>
  </si>
  <si>
    <t>lookuprequest</t>
  </si>
  <si>
    <t>lookupresult</t>
  </si>
  <si>
    <t>BAG_Centroide_RD</t>
  </si>
  <si>
    <t>BAG_x_RD</t>
  </si>
  <si>
    <t>BAG_y_RD</t>
  </si>
  <si>
    <t>BAG_Centroide_LT</t>
  </si>
  <si>
    <t>BAG_x_LT</t>
  </si>
  <si>
    <t>BAG_y_LT</t>
  </si>
  <si>
    <t>olink</t>
  </si>
  <si>
    <t>laan van kronenburg</t>
  </si>
  <si>
    <t>Barchman Wuytierslaan 10</t>
  </si>
  <si>
    <t>Amersfoort</t>
  </si>
  <si>
    <t>Dam 1</t>
  </si>
  <si>
    <t>Amsterdam</t>
  </si>
  <si>
    <t>2678 pn</t>
  </si>
  <si>
    <t>lala</t>
  </si>
  <si>
    <t>Dordrecht</t>
  </si>
  <si>
    <t>Locatieservice</t>
  </si>
  <si>
    <t xml:space="preserve">Suggest service </t>
  </si>
  <si>
    <t>Locatieserver suggest</t>
  </si>
  <si>
    <t>http://geodata.nationaalgeoregister.nl/locatieserver/v3/suggest?wt=xml&amp;q=7334 DP 701</t>
  </si>
  <si>
    <t>Levert raw XML voor postcode 7335 DP 701</t>
  </si>
  <si>
    <t>VolgnrXML</t>
  </si>
  <si>
    <t>@name</t>
  </si>
  <si>
    <t>Response value  =FilterXMLWebservice("http://geodata.nationaalgeoregister.nl/locatieserver/v3/suggest?wt=xml&amp;q=7334 DP 701";"//str[…...]")</t>
  </si>
  <si>
    <t>Kolom1</t>
  </si>
  <si>
    <t>Levert weergavenaam in XML-response</t>
  </si>
  <si>
    <t>Levert ID van het gevonden object</t>
  </si>
  <si>
    <t>LookupService</t>
  </si>
  <si>
    <t>Locatieserver lookup</t>
  </si>
  <si>
    <t>http://geodata.nationaalgeoregister.nl/locatieserver/v3/lookup?wt=xml&amp;id=adr-b78fd594f712007b916132b5c5e0480d</t>
  </si>
  <si>
    <t>Levert raw XML voor object-ID</t>
  </si>
  <si>
    <t>Response value =FilterXMLWebservice(HYPERLINK("http://geodata.nationaalgeoregister.nl/locatieserver/v3/lookup?wt=xml&amp;id="&amp;$C$6);"//doc/str[…..]")</t>
  </si>
  <si>
    <t>PDOK Geocoderen met Kadastraal perceelnummer</t>
  </si>
  <si>
    <t>DKK = Digitale Kadastrale kaart, BRK = Basisregistratie Kadaster</t>
  </si>
  <si>
    <t>Voor meer informatie over de werking zie werkblad: XML BRK</t>
  </si>
  <si>
    <t>Instructie:</t>
  </si>
  <si>
    <t>1 Converteer Kadastrale nummers naar formaat formaat zoals is aangegeven: Gemeentecode Sectie Perceelnummer (bijv. ZVB00 O 2204)</t>
  </si>
  <si>
    <r>
      <t xml:space="preserve">Let op: Gebruik </t>
    </r>
    <r>
      <rPr>
        <b/>
        <sz val="10"/>
        <rFont val="Arial"/>
        <family val="2"/>
      </rPr>
      <t>spaties</t>
    </r>
    <r>
      <rPr>
        <sz val="10"/>
        <rFont val="Arial"/>
        <family val="2"/>
      </rPr>
      <t xml:space="preserve"> als scheidingstekens tussen gemeente, sectie en nr</t>
    </r>
  </si>
  <si>
    <r>
      <t xml:space="preserve">Let op: SectieCode kan uit </t>
    </r>
    <r>
      <rPr>
        <b/>
        <sz val="10"/>
        <rFont val="Arial"/>
        <family val="2"/>
      </rPr>
      <t>meerdere</t>
    </r>
    <r>
      <rPr>
        <sz val="10"/>
        <rFont val="Arial"/>
        <family val="2"/>
      </rPr>
      <t xml:space="preserve"> letters bestaan (bv HLM03 AI 3)</t>
    </r>
  </si>
  <si>
    <r>
      <t xml:space="preserve">Let op: Gebruik </t>
    </r>
    <r>
      <rPr>
        <b/>
        <sz val="10"/>
        <rFont val="Arial"/>
        <family val="2"/>
      </rPr>
      <t>GEEN voorloopnullen</t>
    </r>
    <r>
      <rPr>
        <sz val="10"/>
        <rFont val="Arial"/>
        <family val="2"/>
      </rPr>
      <t xml:space="preserve"> voor het perceelnummer</t>
    </r>
  </si>
  <si>
    <t>2 Kopieer de geformatteerde Kadastrale Perceelnummers naar kolom Kadastraal Nr</t>
  </si>
  <si>
    <t>3 Wachten (kan langer duren als je veel records toevoegt; test eerst met beperkt aantal records)</t>
  </si>
  <si>
    <t>4 Controleer de data, hiervoor is ook de weergavenaam toegevoegd die qua kadastraal nr overeen moet komen met Kadastraal Nr</t>
  </si>
  <si>
    <t>Invoerveld</t>
  </si>
  <si>
    <t>Kadastraal Nr</t>
  </si>
  <si>
    <t>request</t>
  </si>
  <si>
    <t>result</t>
  </si>
  <si>
    <t>Weergavenaam</t>
  </si>
  <si>
    <t>DKK_XY</t>
  </si>
  <si>
    <t>DKK_x</t>
  </si>
  <si>
    <t>DKK_y</t>
  </si>
  <si>
    <t>ZVB00 O 2204</t>
  </si>
  <si>
    <t>ZVB00 O 2203</t>
  </si>
  <si>
    <t>ZLW00 K 193</t>
  </si>
  <si>
    <t>KDT00 I 428</t>
  </si>
  <si>
    <t>ZVB00 O 2230</t>
  </si>
  <si>
    <t>Locatieservice voor coördinaten bij kadastrale nummers</t>
  </si>
  <si>
    <t>Informatiemodel:</t>
  </si>
  <si>
    <t xml:space="preserve">https://zakelijk.kadaster.nl/schemas </t>
  </si>
  <si>
    <t>Dit tabblad gebruikt het  free service endpoint van de locatieserver</t>
  </si>
  <si>
    <t>https://github.com/PDOK/locatieserver/wiki/API-Locatieserver</t>
  </si>
  <si>
    <t>Free Service</t>
  </si>
  <si>
    <t>https://geodata.nationaalgeoregister.nl/locatieserver/v3/free?rows=1&amp;wt=xml&amp;fq=bron:DKK&amp;q=ZVB00-O-2204</t>
  </si>
  <si>
    <t>Zoekwaarde kadastraal perceel nr</t>
  </si>
  <si>
    <t>VolgNrXML</t>
  </si>
  <si>
    <t>Response value =FilterXMLWebservice("https://geodata.nationaalgeoregister.nl/locatieserver/v3/free?rows=1&amp;wt=xml&amp;fq=bron:DKK&amp;q="&amp;$C$13;"//doc/str[@name=...]")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</si>
</sst>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0"/>
      <name val="Arial"/>
    </font>
    <font>
      <sz val="10"/>
      <name val="Arial"/>
      <family val="2"/>
    </font>
    <font>
      <u/>
      <sz val="10"/>
      <color indexed="12"/>
      <name val="Arial"/>
      <family val="2"/>
    </font>
    <font>
      <b/>
      <sz val="10"/>
      <name val="Arial"/>
      <family val="2"/>
    </font>
    <font>
      <sz val="8"/>
      <color indexed="81"/>
      <name val="Tahoma"/>
      <family val="2"/>
    </font>
    <font>
      <b/>
      <sz val="12"/>
      <color indexed="8"/>
      <name val="Calibri"/>
      <family val="2"/>
    </font>
    <font>
      <sz val="10"/>
      <name val="Calibri"/>
      <family val="2"/>
    </font>
    <font>
      <sz val="8"/>
      <name val="Arial"/>
      <family val="2"/>
    </font>
    <font>
      <b/>
      <sz val="10"/>
      <color indexed="55"/>
      <name val="Arial"/>
      <family val="2"/>
    </font>
    <font>
      <sz val="14"/>
      <name val="Arial"/>
      <family val="2"/>
    </font>
    <font>
      <b/>
      <sz val="8"/>
      <color indexed="81"/>
      <name val="Tahoma"/>
      <family val="2"/>
    </font>
    <font>
      <b/>
      <sz val="9"/>
      <color indexed="81"/>
      <name val="Tahoma"/>
      <family val="2"/>
    </font>
    <font>
      <sz val="9"/>
      <color indexed="81"/>
      <name val="Tahoma"/>
      <family val="2"/>
    </font>
    <font>
      <sz val="11"/>
      <name val="Arial"/>
      <family val="2"/>
    </font>
    <font>
      <b/>
      <sz val="15"/>
      <color theme="3"/>
      <name val="Calibri"/>
      <family val="2"/>
    </font>
    <font>
      <b/>
      <sz val="12"/>
      <name val="Arial"/>
      <family val="2"/>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alignment vertical="top"/>
      <protection locked="0"/>
    </xf>
    <xf numFmtId="0" fontId="14" fillId="0" borderId="0" applyNumberFormat="0" applyFill="0" applyAlignment="0" applyProtection="0"/>
  </cellStyleXfs>
  <cellXfs count="31">
    <xf numFmtId="0" fontId="0" fillId="0" borderId="0" xfId="0"/>
    <xf numFmtId="0" fontId="3" fillId="0" borderId="0" xfId="0" applyFont="1"/>
    <xf numFmtId="0" fontId="0" fillId="0" borderId="0" xfId="0" applyNumberFormat="1"/>
    <xf numFmtId="0" fontId="0" fillId="0" borderId="0" xfId="0" applyBorder="1"/>
    <xf numFmtId="0" fontId="6" fillId="0" borderId="0" xfId="0" applyFont="1"/>
    <xf numFmtId="0" fontId="5" fillId="2" borderId="0" xfId="0" applyFont="1" applyFill="1"/>
    <xf numFmtId="0" fontId="8" fillId="0" borderId="0" xfId="0" quotePrefix="1" applyFont="1" applyAlignment="1">
      <alignment horizontal="left"/>
    </xf>
    <xf numFmtId="0" fontId="2" fillId="0" borderId="0" xfId="1" applyAlignment="1" applyProtection="1">
      <alignment horizontal="left"/>
    </xf>
    <xf numFmtId="0" fontId="3" fillId="0" borderId="0" xfId="0" quotePrefix="1" applyFont="1"/>
    <xf numFmtId="0" fontId="1" fillId="0" borderId="0" xfId="0" quotePrefix="1" applyFont="1"/>
    <xf numFmtId="0" fontId="8" fillId="0" borderId="0" xfId="0" applyFont="1"/>
    <xf numFmtId="0" fontId="2" fillId="0" borderId="0" xfId="1" quotePrefix="1" applyAlignment="1" applyProtection="1">
      <alignment horizontal="left"/>
    </xf>
    <xf numFmtId="0" fontId="0" fillId="0" borderId="0" xfId="0" applyAlignment="1">
      <alignment horizontal="left"/>
    </xf>
    <xf numFmtId="0" fontId="9" fillId="0" borderId="0" xfId="0" applyFont="1"/>
    <xf numFmtId="0" fontId="1" fillId="0" borderId="0" xfId="0" applyFont="1"/>
    <xf numFmtId="0" fontId="1" fillId="0" borderId="0" xfId="0" applyFont="1" applyAlignment="1">
      <alignment horizontal="left"/>
    </xf>
    <xf numFmtId="0" fontId="13" fillId="0" borderId="0" xfId="0" applyFont="1" applyAlignment="1">
      <alignment horizontal="left"/>
    </xf>
    <xf numFmtId="0" fontId="13" fillId="0" borderId="0" xfId="0" applyFont="1"/>
    <xf numFmtId="0" fontId="3" fillId="3" borderId="0" xfId="0" quotePrefix="1" applyFont="1" applyFill="1"/>
    <xf numFmtId="0" fontId="14" fillId="0" borderId="0" xfId="2"/>
    <xf numFmtId="0" fontId="1" fillId="0" borderId="0" xfId="0" applyFont="1" applyAlignment="1">
      <alignment horizontal="left" indent="1"/>
    </xf>
    <xf numFmtId="0" fontId="2" fillId="0" borderId="0" xfId="1" applyAlignment="1" applyProtection="1"/>
    <xf numFmtId="0" fontId="0" fillId="0" borderId="0" xfId="0" quotePrefix="1"/>
    <xf numFmtId="0" fontId="1" fillId="0" borderId="0" xfId="0" applyFont="1" applyAlignment="1">
      <alignment horizontal="right"/>
    </xf>
    <xf numFmtId="0" fontId="0" fillId="0" borderId="0" xfId="0" applyAlignment="1">
      <alignment horizontal="right"/>
    </xf>
    <xf numFmtId="0" fontId="15" fillId="0" borderId="0" xfId="0" applyFont="1"/>
    <xf numFmtId="0" fontId="0" fillId="0" borderId="0" xfId="0" applyFill="1"/>
    <xf numFmtId="0" fontId="0" fillId="0" borderId="0" xfId="0" applyNumberFormat="1" applyFill="1"/>
    <xf numFmtId="0" fontId="2" fillId="0" borderId="0" xfId="1" applyNumberFormat="1" applyAlignment="1" applyProtection="1"/>
    <xf numFmtId="0" fontId="0" fillId="0" borderId="0" xfId="0" quotePrefix="1" applyFill="1"/>
    <xf numFmtId="0" fontId="2" fillId="0" borderId="0" xfId="1" quotePrefix="1" applyNumberFormat="1" applyAlignment="1" applyProtection="1"/>
  </cellXfs>
  <cellStyles count="3">
    <cellStyle name="Heading 1" xfId="2" builtinId="16" customBuiltin="1"/>
    <cellStyle name="Hyperlink" xfId="1" builtinId="8"/>
    <cellStyle name="Normal" xfId="0" builtinId="0"/>
  </cellStyles>
  <dxfs count="24">
    <dxf>
      <numFmt numFmtId="0" formatCode="General"/>
    </dxf>
    <dxf>
      <alignment horizontal="right" vertical="bottom" textRotation="0" wrapText="0" indent="0" justifyLastLine="0" shrinkToFit="0" readingOrder="0"/>
    </dxf>
    <dxf>
      <font>
        <b/>
        <i val="0"/>
        <strike val="0"/>
        <condense val="0"/>
        <extend val="0"/>
        <outline val="0"/>
        <shadow val="0"/>
        <u val="none"/>
        <vertAlign val="baseline"/>
        <sz val="10"/>
        <color auto="1"/>
        <name val="Arial"/>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bottom" textRotation="0" wrapText="0" indent="0" justifyLastLine="0" shrinkToFit="0" readingOrder="0"/>
      <protection locked="1"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general" vertical="bottom" textRotation="0" wrapText="0" indent="0" justifyLastLine="0" shrinkToFit="0" readingOrder="0"/>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fil07\users$\Bert\GeoCache\WPWorkbench\Waypoint%20Workbench.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sInput"/>
      <sheetName val="Conversion"/>
      <sheetName val="Waypoints"/>
      <sheetName val="FAQs"/>
      <sheetName val="UK"/>
      <sheetName val="Consts"/>
      <sheetName val="LLtoUTM"/>
      <sheetName val="Results"/>
      <sheetName val="UTMtoLL"/>
    </sheetNames>
    <sheetDataSet>
      <sheetData sheetId="0"/>
      <sheetData sheetId="1">
        <row r="4">
          <cell r="H4" t="b">
            <v>0</v>
          </cell>
          <cell r="I4">
            <v>52</v>
          </cell>
          <cell r="J4">
            <v>2.1999999999999999E-2</v>
          </cell>
          <cell r="K4">
            <v>0</v>
          </cell>
          <cell r="L4">
            <v>1.3199999999999998</v>
          </cell>
          <cell r="M4" t="str">
            <v>North</v>
          </cell>
        </row>
        <row r="6">
          <cell r="C6">
            <v>52</v>
          </cell>
          <cell r="D6">
            <v>2.1999999999999999E-2</v>
          </cell>
          <cell r="H6" t="b">
            <v>1</v>
          </cell>
          <cell r="I6">
            <v>52</v>
          </cell>
          <cell r="J6" t="b">
            <v>0</v>
          </cell>
          <cell r="K6">
            <v>2.1999999999999999E-2</v>
          </cell>
        </row>
        <row r="8">
          <cell r="H8" t="b">
            <v>0</v>
          </cell>
          <cell r="I8">
            <v>52.0003666666667</v>
          </cell>
        </row>
        <row r="12">
          <cell r="H12" t="b">
            <v>0</v>
          </cell>
          <cell r="I12">
            <v>5</v>
          </cell>
          <cell r="J12">
            <v>55.168999999999997</v>
          </cell>
          <cell r="K12">
            <v>55</v>
          </cell>
          <cell r="L12">
            <v>10.139999999999816</v>
          </cell>
          <cell r="M12" t="str">
            <v>East</v>
          </cell>
        </row>
        <row r="14">
          <cell r="C14">
            <v>5</v>
          </cell>
          <cell r="D14">
            <v>55.168999999999997</v>
          </cell>
          <cell r="H14" t="b">
            <v>1</v>
          </cell>
          <cell r="I14">
            <v>5</v>
          </cell>
          <cell r="J14" t="b">
            <v>0</v>
          </cell>
          <cell r="K14">
            <v>55.168999999999997</v>
          </cell>
        </row>
        <row r="16">
          <cell r="H16" t="b">
            <v>0</v>
          </cell>
          <cell r="I16">
            <v>5.9194833333333303</v>
          </cell>
        </row>
        <row r="18">
          <cell r="J18" t="b">
            <v>0</v>
          </cell>
        </row>
        <row r="19">
          <cell r="J19" t="b">
            <v>0</v>
          </cell>
        </row>
        <row r="20">
          <cell r="H20" t="b">
            <v>0</v>
          </cell>
          <cell r="I20">
            <v>31</v>
          </cell>
        </row>
        <row r="23">
          <cell r="I23">
            <v>700401.54983309726</v>
          </cell>
          <cell r="K23">
            <v>5765103.8903002646</v>
          </cell>
        </row>
        <row r="28">
          <cell r="H28" t="b">
            <v>0</v>
          </cell>
        </row>
        <row r="29">
          <cell r="H29" t="e">
            <v>#VALUE!</v>
          </cell>
        </row>
        <row r="30">
          <cell r="H30" t="e">
            <v>#VALUE!</v>
          </cell>
          <cell r="I30" t="str">
            <v>TP433632</v>
          </cell>
          <cell r="J30" t="e">
            <v>#VALUE!</v>
          </cell>
          <cell r="K30" t="str">
            <v>TP 43352 63219</v>
          </cell>
          <cell r="L30">
            <v>943352</v>
          </cell>
          <cell r="M30">
            <v>263219</v>
          </cell>
        </row>
        <row r="31">
          <cell r="K31" t="str">
            <v>TP 43352 63219</v>
          </cell>
        </row>
        <row r="32">
          <cell r="H32" t="b">
            <v>0</v>
          </cell>
        </row>
        <row r="33">
          <cell r="H33" t="e">
            <v>#VALUE!</v>
          </cell>
          <cell r="J33" t="e">
            <v>#VALUE!</v>
          </cell>
        </row>
        <row r="36">
          <cell r="J36" t="e">
            <v>#REF!</v>
          </cell>
        </row>
        <row r="37">
          <cell r="J37" t="e">
            <v>#REF!</v>
          </cell>
        </row>
        <row r="38">
          <cell r="J38" t="e">
            <v>#REF!</v>
          </cell>
        </row>
      </sheetData>
      <sheetData sheetId="2">
        <row r="2">
          <cell r="AA2" t="str">
            <v>London Pilgramage 4</v>
          </cell>
          <cell r="AB2" t="str">
            <v>C:\Documents and Settings\Administrator\Desktop\EasyGPS.exe</v>
          </cell>
          <cell r="AC2" t="str">
            <v>c:\test.wpt</v>
          </cell>
          <cell r="AD2" t="b">
            <v>1</v>
          </cell>
          <cell r="AE2" t="str">
            <v>PCX5</v>
          </cell>
          <cell r="AF2" t="b">
            <v>1</v>
          </cell>
          <cell r="AG2" t="b">
            <v>1</v>
          </cell>
          <cell r="AH2" t="b">
            <v>1</v>
          </cell>
          <cell r="AI2" t="b">
            <v>1</v>
          </cell>
          <cell r="AJ2" t="b">
            <v>1</v>
          </cell>
          <cell r="AK2" t="b">
            <v>1</v>
          </cell>
          <cell r="AL2" t="b">
            <v>1</v>
          </cell>
          <cell r="AM2" t="b">
            <v>1</v>
          </cell>
          <cell r="AN2" t="b">
            <v>1</v>
          </cell>
          <cell r="AO2" t="str">
            <v>HTML</v>
          </cell>
          <cell r="AP2" t="str">
            <v>D:\Bert\GeoCache\CacheMaps\html\Cache (GC79B8).htm</v>
          </cell>
          <cell r="AQ2" t="b">
            <v>1</v>
          </cell>
          <cell r="AR2" t="b">
            <v>0</v>
          </cell>
        </row>
      </sheetData>
      <sheetData sheetId="3">
        <row r="3">
          <cell r="C3" t="str">
            <v>FAQs</v>
          </cell>
        </row>
      </sheetData>
      <sheetData sheetId="4"/>
      <sheetData sheetId="5"/>
      <sheetData sheetId="6"/>
      <sheetData sheetId="7"/>
      <sheetData sheetId="8"/>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el2" displayName="Tabel2" ref="A11:O18" totalsRowShown="0">
  <autoFilter ref="A11:O18" xr:uid="{00000000-0009-0000-0100-000002000000}"/>
  <tableColumns count="15">
    <tableColumn id="1" xr3:uid="{00000000-0010-0000-0000-000001000000}" name="invoerveld 1"/>
    <tableColumn id="2" xr3:uid="{00000000-0010-0000-0000-000002000000}" name="invoerveld 2"/>
    <tableColumn id="3" xr3:uid="{00000000-0010-0000-0000-000003000000}" name="suggestrequest" dataDxfId="23" dataCellStyle="Hyperlink">
      <calculatedColumnFormula>HYPERLINK("http://geodata.nationaalgeoregister.nl/locatieserver/v3/suggest?wt=xml&amp;q="&amp;Tabel2[[#This Row],[invoerveld 1]]&amp;" "&amp;Tabel2[[#This Row],[invoerveld 2]])</calculatedColumnFormula>
    </tableColumn>
    <tableColumn id="12" xr3:uid="{00000000-0010-0000-0000-00000C000000}" name="weergavenaam" dataDxfId="22">
      <calculatedColumnFormula>legacyfilterxml(Tabel2[[#This Row],[suggestresult]],"//str[@name='weergavenaam']")</calculatedColumnFormula>
    </tableColumn>
    <tableColumn id="15" xr3:uid="{B3D0C70D-FD6E-46B5-8410-87B8323BF4D7}" name="suggestresult" dataDxfId="21">
      <calculatedColumnFormula>LegacyWebservice(Tabel2[[#This Row],[suggestrequest]])</calculatedColumnFormula>
    </tableColumn>
    <tableColumn id="5" xr3:uid="{00000000-0010-0000-0000-000005000000}" name="Suggest ID" dataDxfId="20">
      <calculatedColumnFormula>legacyfilterxml(Tabel2[[#This Row],[suggestresult]],"//str[@name='id']")</calculatedColumnFormula>
    </tableColumn>
    <tableColumn id="13" xr3:uid="{00000000-0010-0000-0000-00000D000000}" name="lookuprequest" dataDxfId="19" dataCellStyle="Hyperlink">
      <calculatedColumnFormula>HYPERLINK("http://geodata.nationaalgeoregister.nl/locatieserver/v3/lookup?wt=xml&amp;id="&amp;Tabel2[[#This Row],[Suggest ID]])</calculatedColumnFormula>
    </tableColumn>
    <tableColumn id="16" xr3:uid="{433D4B2F-33CF-4E99-AF2D-5A2EBE2C1862}" name="lookupresult" dataDxfId="18">
      <calculatedColumnFormula>LegacyWebservice(Tabel2[[#This Row],[lookuprequest]])</calculatedColumnFormula>
    </tableColumn>
    <tableColumn id="6" xr3:uid="{00000000-0010-0000-0000-000006000000}" name="BAG_Centroide_RD" dataDxfId="17">
      <calculatedColumnFormula>legacyfilterxml(Tabel2[[#This Row],[lookupresult]],"//doc/str[@name='centroide_rd']")</calculatedColumnFormula>
    </tableColumn>
    <tableColumn id="7" xr3:uid="{00000000-0010-0000-0000-000007000000}" name="BAG_x_RD" dataDxfId="16">
      <calculatedColumnFormula>_xludf.NumberValue(MID(I12,FIND("(",I12)+1,FIND(" ",I12)-FIND("(",I12)-1),".")</calculatedColumnFormula>
    </tableColumn>
    <tableColumn id="8" xr3:uid="{00000000-0010-0000-0000-000008000000}" name="BAG_y_RD">
      <calculatedColumnFormula>_xludf.NumberValue(MID(I12,FIND(" ",I12)+1,FIND(")",I12)-FIND(" ",I12)-1),".")</calculatedColumnFormula>
    </tableColumn>
    <tableColumn id="9" xr3:uid="{00000000-0010-0000-0000-000009000000}" name="BAG_Centroide_LT" dataDxfId="15">
      <calculatedColumnFormula>legacyfilterxml(Tabel2[[#This Row],[lookupresult]],"//doc/str[@name='centroide_ll']")</calculatedColumnFormula>
    </tableColumn>
    <tableColumn id="10" xr3:uid="{00000000-0010-0000-0000-00000A000000}" name="BAG_x_LT" dataDxfId="14">
      <calculatedColumnFormula>_xludf.NumberValue(MID(L12,FIND("(",$L12)+1,FIND(" ",$L12)-FIND("(",$L12)-1),".")</calculatedColumnFormula>
    </tableColumn>
    <tableColumn id="11" xr3:uid="{00000000-0010-0000-0000-00000B000000}" name="BAG_y_LT" dataDxfId="13">
      <calculatedColumnFormula>_xludf.NumberValue(MID(L12,FIND(" ",L12)+1,FIND(")",L12)-FIND(" ",L12)-1),".")</calculatedColumnFormula>
    </tableColumn>
    <tableColumn id="14" xr3:uid="{00000000-0010-0000-0000-00000E000000}" name="olink" dataDxfId="12">
      <calculatedColumnFormula>HYPERLINK("https://www.openstreetmap.org/#map=15/"&amp;ForceDecimalSeparator(Tabel2[[#This Row],[BAG_y_LT]],".")&amp;"/"&amp;ForceDecimalSeparator(Tabel2[[#This Row],[BAG_x_LT]],"."),"link")</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el6" displayName="Tabel6" ref="A12:C41" totalsRowShown="0">
  <autoFilter ref="A12:C41" xr:uid="{00000000-0009-0000-0100-000006000000}"/>
  <tableColumns count="3">
    <tableColumn id="1" xr3:uid="{00000000-0010-0000-0100-000001000000}" name="VolgnrXML"/>
    <tableColumn id="2" xr3:uid="{00000000-0010-0000-0100-000002000000}" name="@name" dataDxfId="11">
      <calculatedColumnFormula>FilterXMLWebservice("http://geodata.nationaalgeoregister.nl/locatieserver/v3/lookup?wt=xml&amp;id="&amp;$C$8,"//doc/str["&amp;Tabel6[[#This Row],[VolgnrXML]]&amp;"]/@name")</calculatedColumnFormula>
    </tableColumn>
    <tableColumn id="3" xr3:uid="{00000000-0010-0000-0100-000003000000}" name="Response value =FilterXMLWebservice(HYPERLINK(&quot;http://geodata.nationaalgeoregister.nl/locatieserver/v3/lookup?wt=xml&amp;id=&quot;&amp;$C$6);&quot;//doc/str[…..]&quot;)" dataDxfId="10">
      <calculatedColumnFormula>FilterXMLWebservice("http://geodata.nationaalgeoregister.nl/locatieserver/v3/lookup?wt=xml&amp;id="&amp;$C$8,"//doc/str[@name='"&amp;Tabel6[[#This Row],[@name]]&amp;"']")</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Tabel7" displayName="Tabel7" ref="A5:D8" totalsRowShown="0">
  <autoFilter ref="A5:D8" xr:uid="{00000000-0009-0000-0100-000007000000}"/>
  <tableColumns count="4">
    <tableColumn id="1" xr3:uid="{00000000-0010-0000-0200-000001000000}" name="VolgnrXML"/>
    <tableColumn id="2" xr3:uid="{00000000-0010-0000-0200-000002000000}" name="@name" dataDxfId="9" dataCellStyle="Hyperlink">
      <calculatedColumnFormula>FilterXMLWebservice("http://geodata.nationaalgeoregister.nl/locatieserver/v3/suggest?wt=xml&amp;q=7334%20DP%20701","//str["&amp;Tabel7[[#This Row],[VolgnrXML]]&amp;"]/@name")</calculatedColumnFormula>
    </tableColumn>
    <tableColumn id="3" xr3:uid="{00000000-0010-0000-0200-000003000000}" name="Response value  =FilterXMLWebservice(&quot;http://geodata.nationaalgeoregister.nl/locatieserver/v3/suggest?wt=xml&amp;q=7334 DP 701&quot;;&quot;//str[…...]&quot;)">
      <calculatedColumnFormula>FilterXMLWebservice("http://geodata.nationaalgeoregister.nl/locatieserver/v3/suggest?wt=xml&amp;q=7334 DP 701","//str[@name='"&amp;B6&amp;"']")</calculatedColumnFormula>
    </tableColumn>
    <tableColumn id="4" xr3:uid="{00000000-0010-0000-0200-000004000000}" name="Kolom1"/>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el3" displayName="Tabel3" ref="A13:G18" totalsRowShown="0">
  <autoFilter ref="A13:G18" xr:uid="{00000000-0009-0000-0100-000003000000}"/>
  <tableColumns count="7">
    <tableColumn id="1" xr3:uid="{00000000-0010-0000-0300-000001000000}" name="Kadastraal Nr"/>
    <tableColumn id="6" xr3:uid="{00000000-0010-0000-0300-000006000000}" name="request" dataDxfId="8">
      <calculatedColumnFormula>HYPERLINK("https://geodata.nationaalgeoregister.nl/locatieserver/v3/free?rows=1&amp;wt=xml&amp;fq=bron:DKK&amp;q="&amp;Tabel3[[#This Row],[Kadastraal Nr]])</calculatedColumnFormula>
    </tableColumn>
    <tableColumn id="7" xr3:uid="{CF6D5C4F-69A6-4928-9AE7-5953CA6E176E}" name="result" dataDxfId="7">
      <calculatedColumnFormula>LegacyWebservice(Tabel3[[#This Row],[request]])</calculatedColumnFormula>
    </tableColumn>
    <tableColumn id="2" xr3:uid="{00000000-0010-0000-0300-000002000000}" name="Weergavenaam" dataDxfId="6">
      <calculatedColumnFormula>legacyfilterxml(Tabel3[[#This Row],[result]],"//doc/str[@name='weergavenaam']")</calculatedColumnFormula>
    </tableColumn>
    <tableColumn id="3" xr3:uid="{00000000-0010-0000-0300-000003000000}" name="DKK_XY" dataDxfId="5">
      <calculatedColumnFormula>FilterXMLWebservice("https://geodata.nationaalgeoregister.nl/locatieserver/v3/free?rows=1&amp;wt=xml&amp;fq=bron:DKK&amp;q="&amp;Tabel3[[#This Row],[Kadastraal Nr]],"//doc/str[@name='centroide_ll']")</calculatedColumnFormula>
    </tableColumn>
    <tableColumn id="4" xr3:uid="{00000000-0010-0000-0300-000004000000}" name="DKK_x" dataDxfId="4">
      <calculatedColumnFormula>_xludf.NumberValue(MID(E14,FIND("(",E14)+1,FIND(" ",E14)-FIND("(",E14)-1),".")</calculatedColumnFormula>
    </tableColumn>
    <tableColumn id="5" xr3:uid="{00000000-0010-0000-0300-000005000000}" name="DKK_y" dataDxfId="3">
      <calculatedColumnFormula>_xludf.NumberValue(MID(E14,FIND(" ",E14)+1,FIND(")",E14)-(FIND(" ",E14)+1)),".")</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el4" displayName="Tabel4" ref="A8:C18" totalsRowShown="0" headerRowDxfId="2">
  <autoFilter ref="A8:C18" xr:uid="{00000000-0009-0000-0100-000004000000}"/>
  <tableColumns count="3">
    <tableColumn id="1" xr3:uid="{00000000-0010-0000-0400-000001000000}" name="VolgNrXML" dataDxfId="1"/>
    <tableColumn id="2" xr3:uid="{00000000-0010-0000-0400-000002000000}" name="@name">
      <calculatedColumnFormula>FilterXMLWebservice(HYPERLINK("https://geodata.nationaalgeoregister.nl/locatieserver/v3/free?rows=1&amp;wt=xml&amp;fq=bron:DKK&amp;q="&amp;$C$6),"//doc/str["&amp;A9&amp;"]/@name")</calculatedColumnFormula>
    </tableColumn>
    <tableColumn id="3" xr3:uid="{00000000-0010-0000-0400-000003000000}" name="Response value =FilterXMLWebservice(&quot;https://geodata.nationaalgeoregister.nl/locatieserver/v3/free?rows=1&amp;wt=xml&amp;fq=bron:DKK&amp;q=&quot;&amp;$C$13;&quot;//doc/str[@name=...]&quot;)" dataDxfId="0">
      <calculatedColumnFormula>FilterXMLWebservice("https://geodata.nationaalgeoregister.nl/locatieserver/v3/free?rows=1&amp;wt=xml&amp;fq=bron:DKK&amp;q="&amp;$C$6,"//doc/str[@name='"&amp;B9&amp;"']")</calculatedColumnFormula>
    </tableColumn>
  </tableColumns>
  <tableStyleInfo name="TableStyleLight1"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hyperlink" Target="http://geodata.nationaalgeoregister.nl/locatieserver/v3/lookup?wt=xml&amp;id=adr-b78fd594f712007b916132b5c5e0480d" TargetMode="External"/><Relationship Id="rId7" Type="http://schemas.openxmlformats.org/officeDocument/2006/relationships/table" Target="../tables/table3.xml"/><Relationship Id="rId2" Type="http://schemas.openxmlformats.org/officeDocument/2006/relationships/hyperlink" Target="http://geodata.nationaalgeoregister.nl/locatieserver/v3/suggest?wt=xml&amp;q=3818%20LH%2010" TargetMode="External"/><Relationship Id="rId1" Type="http://schemas.openxmlformats.org/officeDocument/2006/relationships/hyperlink" Target="http://geodata.nationaalgeoregister.nl/locatieserver/v3/suggest?wt=xml&amp;q=7334%20DP%20701" TargetMode="External"/><Relationship Id="rId6" Type="http://schemas.openxmlformats.org/officeDocument/2006/relationships/table" Target="../tables/table2.xml"/><Relationship Id="rId5" Type="http://schemas.openxmlformats.org/officeDocument/2006/relationships/vmlDrawing" Target="../drawings/vmlDrawing2.vml"/><Relationship Id="rId4" Type="http://schemas.openxmlformats.org/officeDocument/2006/relationships/hyperlink" Target="http://geodata.nationaalgeoregister.nl/locatieserver/v3/suggest?wt=xml&amp;q=3818%20LH%2010"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hyperlink" Target="https://github.com/PDOK/locatieserver/wiki/API-Locatieserver"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Lookup1"/>
  <dimension ref="A1:O23"/>
  <sheetViews>
    <sheetView tabSelected="1" zoomScaleNormal="100" workbookViewId="0">
      <pane ySplit="10" topLeftCell="A11" activePane="bottomLeft" state="frozen"/>
      <selection pane="bottomLeft" activeCell="A11" sqref="A11"/>
    </sheetView>
  </sheetViews>
  <sheetFormatPr defaultColWidth="9.140625" defaultRowHeight="12.75"/>
  <cols>
    <col min="1" max="1" width="28" customWidth="1"/>
    <col min="2" max="2" width="14.5703125" customWidth="1"/>
    <col min="3" max="3" width="21.5703125" customWidth="1"/>
    <col min="4" max="4" width="41.42578125" bestFit="1" customWidth="1"/>
    <col min="5" max="5" width="9.7109375" customWidth="1"/>
    <col min="6" max="6" width="15.28515625" customWidth="1"/>
    <col min="7" max="7" width="26.85546875" customWidth="1"/>
    <col min="8" max="8" width="8.5703125" customWidth="1"/>
    <col min="9" max="9" width="12.85546875" customWidth="1"/>
    <col min="10" max="10" width="13" bestFit="1" customWidth="1"/>
    <col min="11" max="11" width="12.85546875" customWidth="1"/>
    <col min="12" max="12" width="12.5703125" customWidth="1"/>
    <col min="13" max="13" width="12.85546875" customWidth="1"/>
    <col min="14" max="14" width="7.5703125" customWidth="1"/>
    <col min="15" max="15" width="9.140625" customWidth="1"/>
  </cols>
  <sheetData>
    <row r="1" spans="1:15" ht="19.5">
      <c r="A1" s="19" t="s">
        <v>0</v>
      </c>
      <c r="B1" s="19"/>
      <c r="D1" s="14" t="s">
        <v>1</v>
      </c>
      <c r="H1" t="s">
        <v>2</v>
      </c>
      <c r="I1" s="3"/>
      <c r="J1" s="3"/>
    </row>
    <row r="2" spans="1:15" ht="15" customHeight="1">
      <c r="A2" t="s">
        <v>3</v>
      </c>
      <c r="B2" s="14" t="s">
        <v>4</v>
      </c>
      <c r="I2" s="3"/>
      <c r="J2" s="3"/>
    </row>
    <row r="3" spans="1:15" ht="15" customHeight="1">
      <c r="B3" t="s">
        <v>5</v>
      </c>
      <c r="I3" s="3"/>
      <c r="J3" s="3"/>
    </row>
    <row r="4" spans="1:15" ht="15" customHeight="1">
      <c r="B4" s="14" t="s">
        <v>6</v>
      </c>
      <c r="I4" s="3"/>
      <c r="J4" s="3"/>
    </row>
    <row r="5" spans="1:15" ht="15" customHeight="1">
      <c r="B5" s="14" t="s">
        <v>7</v>
      </c>
      <c r="I5" s="3"/>
      <c r="J5" s="3"/>
    </row>
    <row r="6" spans="1:15" ht="15" customHeight="1">
      <c r="A6" t="s">
        <v>8</v>
      </c>
      <c r="B6" s="14" t="s">
        <v>9</v>
      </c>
      <c r="I6" s="3"/>
      <c r="J6" s="3"/>
    </row>
    <row r="7" spans="1:15" ht="15" customHeight="1">
      <c r="A7" t="s">
        <v>10</v>
      </c>
      <c r="B7" s="14" t="s">
        <v>11</v>
      </c>
      <c r="I7" s="3"/>
      <c r="J7" s="3"/>
    </row>
    <row r="8" spans="1:15" ht="15" customHeight="1">
      <c r="B8" s="14" t="s">
        <v>12</v>
      </c>
      <c r="I8" s="3"/>
      <c r="J8" s="3"/>
      <c r="O8" s="4"/>
    </row>
    <row r="9" spans="1:15" ht="15" customHeight="1">
      <c r="I9" s="3"/>
      <c r="J9" s="3"/>
      <c r="O9" s="4"/>
    </row>
    <row r="10" spans="1:15" ht="12.75" customHeight="1">
      <c r="A10" t="s">
        <v>13</v>
      </c>
      <c r="C10" t="s">
        <v>14</v>
      </c>
      <c r="H10" t="s">
        <v>15</v>
      </c>
      <c r="K10" t="s">
        <v>16</v>
      </c>
      <c r="O10" s="4"/>
    </row>
    <row r="11" spans="1:15" s="5" customFormat="1" ht="12.75" customHeight="1">
      <c r="A11" s="14" t="s">
        <v>17</v>
      </c>
      <c r="B11" s="14" t="s">
        <v>18</v>
      </c>
      <c r="C11" t="s">
        <v>19</v>
      </c>
      <c r="D11" s="14" t="s">
        <v>20</v>
      </c>
      <c r="E11" s="14" t="s">
        <v>21</v>
      </c>
      <c r="F11" t="s">
        <v>22</v>
      </c>
      <c r="G11" s="14" t="s">
        <v>23</v>
      </c>
      <c r="H11" s="14" t="s">
        <v>24</v>
      </c>
      <c r="I11" t="s">
        <v>25</v>
      </c>
      <c r="J11" t="s">
        <v>26</v>
      </c>
      <c r="K11" t="s">
        <v>27</v>
      </c>
      <c r="L11" t="s">
        <v>28</v>
      </c>
      <c r="M11" t="s">
        <v>29</v>
      </c>
      <c r="N11" t="s">
        <v>30</v>
      </c>
      <c r="O11" s="14" t="s">
        <v>31</v>
      </c>
    </row>
    <row r="12" spans="1:15" s="4" customFormat="1" ht="12.75" customHeight="1">
      <c r="A12" s="14" t="s">
        <v>32</v>
      </c>
      <c r="B12"/>
      <c r="C12" s="21" t="str">
        <f>HYPERLINK("http://geodata.nationaalgeoregister.nl/locatieserver/v3/suggest?wt=xml&amp;q="&amp;Tabel2[[#This Row],[invoerveld 1]]&amp;" "&amp;Tabel2[[#This Row],[invoerveld 2]])</f>
        <v xml:space="preserve">http://geodata.nationaalgeoregister.nl/locatieserver/v3/suggest?wt=xml&amp;q=laan van kronenburg </v>
      </c>
      <c r="D12" t="e">
        <f ca="1">legacyfilterxml(Tabel2[[#This Row],[suggestresult]],"//str[@name='weergavenaam']")</f>
        <v>#NAME?</v>
      </c>
      <c r="E12" t="e">
        <f ca="1">LegacyWebservice(Tabel2[[#This Row],[suggestrequest]])</f>
        <v>#NAME?</v>
      </c>
      <c r="F12" t="e">
        <f ca="1">legacyfilterxml(Tabel2[[#This Row],[suggestresult]],"//str[@name='id']")</f>
        <v>#NAME?</v>
      </c>
      <c r="G12" s="21" t="e">
        <f ca="1">HYPERLINK("http://geodata.nationaalgeoregister.nl/locatieserver/v3/lookup?wt=xml&amp;id="&amp;Tabel2[[#This Row],[Suggest ID]])</f>
        <v>#NAME?</v>
      </c>
      <c r="H12" t="e">
        <f ca="1">LegacyWebservice(Tabel2[[#This Row],[lookuprequest]])</f>
        <v>#NAME?</v>
      </c>
      <c r="I12" t="e">
        <f ca="1">legacyfilterxml(Tabel2[[#This Row],[lookupresult]],"//doc/str[@name='centroide_rd']")</f>
        <v>#NAME?</v>
      </c>
      <c r="J12" s="2" t="e">
        <f ca="1">_xludf.NumberValue(MID(I12,FIND("(",I12)+1,FIND(" ",I12)-FIND("(",I12)-1),".")</f>
        <v>#NAME?</v>
      </c>
      <c r="K12" t="e">
        <f ca="1">_xludf.NumberValue(MID(I12,FIND(" ",I12)+1,FIND(")",I12)-FIND(" ",I12)-1),".")</f>
        <v>#NAME?</v>
      </c>
      <c r="L12" t="e">
        <f ca="1">legacyfilterxml(Tabel2[[#This Row],[lookupresult]],"//doc/str[@name='centroide_ll']")</f>
        <v>#NAME?</v>
      </c>
      <c r="M12" s="2" t="e">
        <f ca="1">_xludf.NumberValue(MID(L12,FIND("(",$L12)+1,FIND(" ",$L12)-FIND("(",$L12)-1),".")</f>
        <v>#NAME?</v>
      </c>
      <c r="N12" s="2" t="e">
        <f ca="1">_xludf.NumberValue(MID(L12,FIND(" ",L12)+1,FIND(")",L12)-FIND(" ",L12)-1),".")</f>
        <v>#NAME?</v>
      </c>
      <c r="O12" s="28" t="e">
        <f ca="1">HYPERLINK("https://www.openstreetmap.org/#map=15/"&amp;ForceDecimalSeparator(Tabel2[[#This Row],[BAG_y_LT]],".")&amp;"/"&amp;ForceDecimalSeparator(Tabel2[[#This Row],[BAG_x_LT]],"."),"link")</f>
        <v>#NAME?</v>
      </c>
    </row>
    <row r="13" spans="1:15" s="4" customFormat="1" ht="12.75" customHeight="1">
      <c r="A13" t="s">
        <v>33</v>
      </c>
      <c r="B13" t="s">
        <v>34</v>
      </c>
      <c r="C13" s="21" t="str">
        <f>HYPERLINK("http://geodata.nationaalgeoregister.nl/locatieserver/v3/suggest?wt=xml&amp;q="&amp;Tabel2[[#This Row],[invoerveld 1]]&amp;" "&amp;Tabel2[[#This Row],[invoerveld 2]])</f>
        <v>http://geodata.nationaalgeoregister.nl/locatieserver/v3/suggest?wt=xml&amp;q=Barchman Wuytierslaan 10 Amersfoort</v>
      </c>
      <c r="D13" t="e">
        <f ca="1">legacyfilterxml(Tabel2[[#This Row],[suggestresult]],"//str[@name='weergavenaam']")</f>
        <v>#NAME?</v>
      </c>
      <c r="E13" t="e">
        <f ca="1">LegacyWebservice(Tabel2[[#This Row],[suggestrequest]])</f>
        <v>#NAME?</v>
      </c>
      <c r="F13" t="e">
        <f ca="1">legacyfilterxml(Tabel2[[#This Row],[suggestresult]],"//str[@name='id']")</f>
        <v>#NAME?</v>
      </c>
      <c r="G13" s="21" t="e">
        <f ca="1">HYPERLINK("http://geodata.nationaalgeoregister.nl/locatieserver/v3/lookup?wt=xml&amp;id="&amp;Tabel2[[#This Row],[Suggest ID]])</f>
        <v>#NAME?</v>
      </c>
      <c r="H13" t="e">
        <f ca="1">LegacyWebservice(Tabel2[[#This Row],[lookuprequest]])</f>
        <v>#NAME?</v>
      </c>
      <c r="I13" t="e">
        <f ca="1">legacyfilterxml(Tabel2[[#This Row],[lookupresult]],"//doc/str[@name='centroide_rd']")</f>
        <v>#NAME?</v>
      </c>
      <c r="J13" s="2" t="e">
        <f t="shared" ref="J13:J15" ca="1" si="0">_xludf.NumberValue(MID(I13,FIND("(",I13)+1,FIND(" ",I13)-FIND("(",I13)-1),".")</f>
        <v>#NAME?</v>
      </c>
      <c r="K13" t="e">
        <f t="shared" ref="K13:K15" ca="1" si="1">_xludf.NumberValue(MID(I13,FIND(" ",I13)+1,FIND(")",I13)-FIND(" ",I13)-1),".")</f>
        <v>#NAME?</v>
      </c>
      <c r="L13" t="e">
        <f ca="1">legacyfilterxml(Tabel2[[#This Row],[lookupresult]],"//doc/str[@name='centroide_ll']")</f>
        <v>#NAME?</v>
      </c>
      <c r="M13" s="2" t="e">
        <f t="shared" ref="M13:M15" ca="1" si="2">_xludf.NumberValue(MID(L13,FIND("(",$L13)+1,FIND(" ",$L13)-FIND("(",$L13)-1),".")</f>
        <v>#NAME?</v>
      </c>
      <c r="N13" s="2" t="e">
        <f t="shared" ref="N13:N15" ca="1" si="3">_xludf.NumberValue(MID(L13,FIND(" ",L13)+1,FIND(")",L13)-FIND(" ",L13)-1),".")</f>
        <v>#NAME?</v>
      </c>
      <c r="O13" s="28" t="e">
        <f ca="1">HYPERLINK("https://www.openstreetmap.org/#map=15/"&amp;ForceDecimalSeparator(Tabel2[[#This Row],[BAG_y_LT]],".")&amp;"/"&amp;ForceDecimalSeparator(Tabel2[[#This Row],[BAG_x_LT]],"."),"link")</f>
        <v>#NAME?</v>
      </c>
    </row>
    <row r="14" spans="1:15" s="4" customFormat="1" ht="12.75" customHeight="1">
      <c r="A14" t="s">
        <v>35</v>
      </c>
      <c r="B14" t="s">
        <v>36</v>
      </c>
      <c r="C14" s="21" t="str">
        <f>HYPERLINK("http://geodata.nationaalgeoregister.nl/locatieserver/v3/suggest?wt=xml&amp;q="&amp;Tabel2[[#This Row],[invoerveld 1]]&amp;" "&amp;Tabel2[[#This Row],[invoerveld 2]])</f>
        <v>http://geodata.nationaalgeoregister.nl/locatieserver/v3/suggest?wt=xml&amp;q=Dam 1 Amsterdam</v>
      </c>
      <c r="D14" t="e">
        <f ca="1">legacyfilterxml(Tabel2[[#This Row],[suggestresult]],"//str[@name='weergavenaam']")</f>
        <v>#NAME?</v>
      </c>
      <c r="E14" t="e">
        <f ca="1">LegacyWebservice(Tabel2[[#This Row],[suggestrequest]])</f>
        <v>#NAME?</v>
      </c>
      <c r="F14" t="e">
        <f ca="1">legacyfilterxml(Tabel2[[#This Row],[suggestresult]],"//str[@name='id']")</f>
        <v>#NAME?</v>
      </c>
      <c r="G14" s="21" t="e">
        <f ca="1">HYPERLINK("http://geodata.nationaalgeoregister.nl/locatieserver/v3/lookup?wt=xml&amp;id="&amp;Tabel2[[#This Row],[Suggest ID]])</f>
        <v>#NAME?</v>
      </c>
      <c r="H14" t="e">
        <f ca="1">LegacyWebservice(Tabel2[[#This Row],[lookuprequest]])</f>
        <v>#NAME?</v>
      </c>
      <c r="I14" t="e">
        <f ca="1">legacyfilterxml(Tabel2[[#This Row],[lookupresult]],"//doc/str[@name='centroide_rd']")</f>
        <v>#NAME?</v>
      </c>
      <c r="J14" s="2" t="e">
        <f t="shared" ca="1" si="0"/>
        <v>#NAME?</v>
      </c>
      <c r="K14" t="e">
        <f t="shared" ca="1" si="1"/>
        <v>#NAME?</v>
      </c>
      <c r="L14" t="e">
        <f ca="1">legacyfilterxml(Tabel2[[#This Row],[lookupresult]],"//doc/str[@name='centroide_ll']")</f>
        <v>#NAME?</v>
      </c>
      <c r="M14" s="2" t="e">
        <f t="shared" ca="1" si="2"/>
        <v>#NAME?</v>
      </c>
      <c r="N14" s="2" t="e">
        <f t="shared" ca="1" si="3"/>
        <v>#NAME?</v>
      </c>
      <c r="O14" s="28" t="e">
        <f ca="1">HYPERLINK("https://www.openstreetmap.org/#map=15/"&amp;ForceDecimalSeparator(Tabel2[[#This Row],[BAG_y_LT]],".")&amp;"/"&amp;ForceDecimalSeparator(Tabel2[[#This Row],[BAG_x_LT]],"."),"link")</f>
        <v>#NAME?</v>
      </c>
    </row>
    <row r="15" spans="1:15" ht="12.75" customHeight="1">
      <c r="A15" s="14" t="s">
        <v>37</v>
      </c>
      <c r="B15">
        <v>37</v>
      </c>
      <c r="C15" s="21" t="str">
        <f>HYPERLINK("http://geodata.nationaalgeoregister.nl/locatieserver/v3/suggest?wt=xml&amp;q="&amp;Tabel2[[#This Row],[invoerveld 1]]&amp;" "&amp;Tabel2[[#This Row],[invoerveld 2]])</f>
        <v>http://geodata.nationaalgeoregister.nl/locatieserver/v3/suggest?wt=xml&amp;q=2678 pn 37</v>
      </c>
      <c r="D15" t="e">
        <f ca="1">legacyfilterxml(Tabel2[[#This Row],[suggestresult]],"//str[@name='weergavenaam']")</f>
        <v>#NAME?</v>
      </c>
      <c r="E15" t="e">
        <f ca="1">LegacyWebservice(Tabel2[[#This Row],[suggestrequest]])</f>
        <v>#NAME?</v>
      </c>
      <c r="F15" t="e">
        <f ca="1">legacyfilterxml(Tabel2[[#This Row],[suggestresult]],"//str[@name='id']")</f>
        <v>#NAME?</v>
      </c>
      <c r="G15" s="21" t="e">
        <f ca="1">HYPERLINK("http://geodata.nationaalgeoregister.nl/locatieserver/v3/lookup?wt=xml&amp;id="&amp;Tabel2[[#This Row],[Suggest ID]])</f>
        <v>#NAME?</v>
      </c>
      <c r="H15" t="e">
        <f ca="1">LegacyWebservice(Tabel2[[#This Row],[lookuprequest]])</f>
        <v>#NAME?</v>
      </c>
      <c r="I15" t="e">
        <f ca="1">legacyfilterxml(Tabel2[[#This Row],[lookupresult]],"//doc/str[@name='centroide_rd']")</f>
        <v>#NAME?</v>
      </c>
      <c r="J15" s="2" t="e">
        <f t="shared" ca="1" si="0"/>
        <v>#NAME?</v>
      </c>
      <c r="K15" t="e">
        <f t="shared" ca="1" si="1"/>
        <v>#NAME?</v>
      </c>
      <c r="L15" t="e">
        <f ca="1">legacyfilterxml(Tabel2[[#This Row],[lookupresult]],"//doc/str[@name='centroide_ll']")</f>
        <v>#NAME?</v>
      </c>
      <c r="M15" s="2" t="e">
        <f t="shared" ca="1" si="2"/>
        <v>#NAME?</v>
      </c>
      <c r="N15" s="2" t="e">
        <f t="shared" ca="1" si="3"/>
        <v>#NAME?</v>
      </c>
      <c r="O15" s="28" t="e">
        <f ca="1">HYPERLINK("https://www.openstreetmap.org/#map=15/"&amp;ForceDecimalSeparator(Tabel2[[#This Row],[BAG_y_LT]],".")&amp;"/"&amp;ForceDecimalSeparator(Tabel2[[#This Row],[BAG_x_LT]],"."),"link")</f>
        <v>#NAME?</v>
      </c>
    </row>
    <row r="16" spans="1:15" ht="12.75" customHeight="1">
      <c r="A16" s="14" t="s">
        <v>37</v>
      </c>
      <c r="C16" s="28" t="str">
        <f>HYPERLINK("http://geodata.nationaalgeoregister.nl/locatieserver/v3/suggest?wt=xml&amp;q="&amp;Tabel2[[#This Row],[invoerveld 1]]&amp;" "&amp;Tabel2[[#This Row],[invoerveld 2]])</f>
        <v xml:space="preserve">http://geodata.nationaalgeoregister.nl/locatieserver/v3/suggest?wt=xml&amp;q=2678 pn </v>
      </c>
      <c r="D16" t="e">
        <f ca="1">legacyfilterxml(Tabel2[[#This Row],[suggestresult]],"//str[@name='weergavenaam']")</f>
        <v>#NAME?</v>
      </c>
      <c r="E16" t="e">
        <f ca="1">LegacyWebservice(Tabel2[[#This Row],[suggestrequest]])</f>
        <v>#NAME?</v>
      </c>
      <c r="F16" s="26" t="e">
        <f ca="1">legacyfilterxml(Tabel2[[#This Row],[suggestresult]],"//str[@name='id']")</f>
        <v>#NAME?</v>
      </c>
      <c r="G16" s="28" t="e">
        <f ca="1">HYPERLINK("http://geodata.nationaalgeoregister.nl/locatieserver/v3/lookup?wt=xml&amp;id="&amp;Tabel2[[#This Row],[Suggest ID]])</f>
        <v>#NAME?</v>
      </c>
      <c r="H16" t="e">
        <f ca="1">LegacyWebservice(Tabel2[[#This Row],[lookuprequest]])</f>
        <v>#NAME?</v>
      </c>
      <c r="I16" s="26" t="e">
        <f ca="1">legacyfilterxml(Tabel2[[#This Row],[lookupresult]],"//doc/str[@name='centroide_rd']")</f>
        <v>#NAME?</v>
      </c>
      <c r="J16" s="2" t="e">
        <f ca="1">_xludf.NumberValue(MID(I16,FIND("(",I16)+1,FIND(" ",I16)-FIND("(",I16)-1),".")</f>
        <v>#NAME?</v>
      </c>
      <c r="K16" s="26" t="e">
        <f ca="1">_xludf.NumberValue(MID(I16,FIND(" ",I16)+1,FIND(")",I16)-FIND(" ",I16)-1),".")</f>
        <v>#NAME?</v>
      </c>
      <c r="L16" s="27" t="e">
        <f ca="1">legacyfilterxml(Tabel2[[#This Row],[lookupresult]],"//doc/str[@name='centroide_ll']")</f>
        <v>#NAME?</v>
      </c>
      <c r="M16" s="2" t="e">
        <f ca="1">_xludf.NumberValue(MID(L16,FIND("(",$L16)+1,FIND(" ",$L16)-FIND("(",$L16)-1),".")</f>
        <v>#NAME?</v>
      </c>
      <c r="N16" s="2" t="e">
        <f ca="1">_xludf.NumberValue(MID(L16,FIND(" ",L16)+1,FIND(")",L16)-FIND(" ",L16)-1),".")</f>
        <v>#NAME?</v>
      </c>
      <c r="O16" s="28" t="e">
        <f ca="1">HYPERLINK("https://www.openstreetmap.org/#map=15/"&amp;ForceDecimalSeparator(Tabel2[[#This Row],[BAG_y_LT]],".")&amp;"/"&amp;ForceDecimalSeparator(Tabel2[[#This Row],[BAG_x_LT]],"."),"link")</f>
        <v>#NAME?</v>
      </c>
    </row>
    <row r="17" spans="1:15" ht="12.75" customHeight="1">
      <c r="A17" s="14" t="s">
        <v>38</v>
      </c>
      <c r="C17" s="28" t="str">
        <f>HYPERLINK("http://geodata.nationaalgeoregister.nl/locatieserver/v3/suggest?wt=xml&amp;q="&amp;Tabel2[[#This Row],[invoerveld 1]]&amp;" "&amp;Tabel2[[#This Row],[invoerveld 2]])</f>
        <v xml:space="preserve">http://geodata.nationaalgeoregister.nl/locatieserver/v3/suggest?wt=xml&amp;q=lala </v>
      </c>
      <c r="D17" t="e">
        <f ca="1">legacyfilterxml(Tabel2[[#This Row],[suggestresult]],"//str[@name='weergavenaam']")</f>
        <v>#NAME?</v>
      </c>
      <c r="E17" t="e">
        <f ca="1">LegacyWebservice(Tabel2[[#This Row],[suggestrequest]])</f>
        <v>#NAME?</v>
      </c>
      <c r="F17" s="29" t="e">
        <f ca="1">legacyfilterxml(Tabel2[[#This Row],[suggestresult]],"//str[@name='id']")</f>
        <v>#NAME?</v>
      </c>
      <c r="G17" s="30" t="e">
        <f ca="1">HYPERLINK("http://geodata.nationaalgeoregister.nl/locatieserver/v3/lookup?wt=xml&amp;id="&amp;Tabel2[[#This Row],[Suggest ID]])</f>
        <v>#NAME?</v>
      </c>
      <c r="H17" s="22" t="e">
        <f ca="1">LegacyWebservice(Tabel2[[#This Row],[lookuprequest]])</f>
        <v>#NAME?</v>
      </c>
      <c r="I17" s="26" t="e">
        <f ca="1">legacyfilterxml(Tabel2[[#This Row],[lookupresult]],"//doc/str[@name='centroide_rd']")</f>
        <v>#NAME?</v>
      </c>
      <c r="J17" s="2" t="e">
        <f ca="1">_xludf.NumberValue(MID(I17,FIND("(",I17)+1,FIND(" ",I17)-FIND("(",I17)-1),".")</f>
        <v>#NAME?</v>
      </c>
      <c r="K17" s="26" t="e">
        <f ca="1">_xludf.NumberValue(MID(I17,FIND(" ",I17)+1,FIND(")",I17)-FIND(" ",I17)-1),".")</f>
        <v>#NAME?</v>
      </c>
      <c r="L17" s="27" t="e">
        <f ca="1">legacyfilterxml(Tabel2[[#This Row],[lookupresult]],"//doc/str[@name='centroide_ll']")</f>
        <v>#NAME?</v>
      </c>
      <c r="M17" s="2" t="e">
        <f ca="1">_xludf.NumberValue(MID(L17,FIND("(",$L17)+1,FIND(" ",$L17)-FIND("(",$L17)-1),".")</f>
        <v>#NAME?</v>
      </c>
      <c r="N17" s="2" t="e">
        <f ca="1">_xludf.NumberValue(MID(L17,FIND(" ",L17)+1,FIND(")",L17)-FIND(" ",L17)-1),".")</f>
        <v>#NAME?</v>
      </c>
      <c r="O17" s="28" t="e">
        <f ca="1">HYPERLINK("https://www.openstreetmap.org/#map=15/"&amp;ForceDecimalSeparator(Tabel2[[#This Row],[BAG_y_LT]],".")&amp;"/"&amp;ForceDecimalSeparator(Tabel2[[#This Row],[BAG_x_LT]],"."),"link")</f>
        <v>#NAME?</v>
      </c>
    </row>
    <row r="18" spans="1:15" ht="12.75" customHeight="1">
      <c r="A18" s="14" t="s">
        <v>39</v>
      </c>
      <c r="C18" s="28" t="str">
        <f>HYPERLINK("http://geodata.nationaalgeoregister.nl/locatieserver/v3/suggest?wt=xml&amp;q="&amp;Tabel2[[#This Row],[invoerveld 1]]&amp;" "&amp;Tabel2[[#This Row],[invoerveld 2]])</f>
        <v xml:space="preserve">http://geodata.nationaalgeoregister.nl/locatieserver/v3/suggest?wt=xml&amp;q=Dordrecht </v>
      </c>
      <c r="D18" t="e">
        <f ca="1">legacyfilterxml(Tabel2[[#This Row],[suggestresult]],"//str[@name='weergavenaam']")</f>
        <v>#NAME?</v>
      </c>
      <c r="E18" t="e">
        <f ca="1">LegacyWebservice(Tabel2[[#This Row],[suggestrequest]])</f>
        <v>#NAME?</v>
      </c>
      <c r="F18" s="26" t="e">
        <f ca="1">legacyfilterxml(Tabel2[[#This Row],[suggestresult]],"//str[@name='id']")</f>
        <v>#NAME?</v>
      </c>
      <c r="G18" s="28" t="e">
        <f ca="1">HYPERLINK("http://geodata.nationaalgeoregister.nl/locatieserver/v3/lookup?wt=xml&amp;id="&amp;Tabel2[[#This Row],[Suggest ID]])</f>
        <v>#NAME?</v>
      </c>
      <c r="H18" t="e">
        <f ca="1">LegacyWebservice(Tabel2[[#This Row],[lookuprequest]])</f>
        <v>#NAME?</v>
      </c>
      <c r="I18" s="26" t="e">
        <f ca="1">legacyfilterxml(Tabel2[[#This Row],[lookupresult]],"//doc/str[@name='centroide_rd']")</f>
        <v>#NAME?</v>
      </c>
      <c r="J18" s="2" t="e">
        <f ca="1">_xludf.NumberValue(MID(I18,FIND("(",I18)+1,FIND(" ",I18)-FIND("(",I18)-1),".")</f>
        <v>#NAME?</v>
      </c>
      <c r="K18" s="26" t="e">
        <f ca="1">_xludf.NumberValue(MID(I18,FIND(" ",I18)+1,FIND(")",I18)-FIND(" ",I18)-1),".")</f>
        <v>#NAME?</v>
      </c>
      <c r="L18" s="27" t="e">
        <f ca="1">legacyfilterxml(Tabel2[[#This Row],[lookupresult]],"//doc/str[@name='centroide_ll']")</f>
        <v>#NAME?</v>
      </c>
      <c r="M18" s="2" t="e">
        <f ca="1">_xludf.NumberValue(MID(L18,FIND("(",$L18)+1,FIND(" ",$L18)-FIND("(",$L18)-1),".")</f>
        <v>#NAME?</v>
      </c>
      <c r="N18" s="2" t="e">
        <f ca="1">_xludf.NumberValue(MID(L18,FIND(" ",L18)+1,FIND(")",L18)-FIND(" ",L18)-1),".")</f>
        <v>#NAME?</v>
      </c>
      <c r="O18" s="28" t="e">
        <f ca="1">HYPERLINK("https://www.openstreetmap.org/#map=15/"&amp;ForceDecimalSeparator(Tabel2[[#This Row],[BAG_y_LT]],".")&amp;"/"&amp;ForceDecimalSeparator(Tabel2[[#This Row],[BAG_x_LT]],"."),"link")</f>
        <v>#NAME?</v>
      </c>
    </row>
    <row r="23" spans="1:15">
      <c r="C23" s="22"/>
    </row>
  </sheetData>
  <phoneticPr fontId="7" type="noConversion"/>
  <pageMargins left="0.7" right="0.7"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xDocBAG"/>
  <dimension ref="A1:O105"/>
  <sheetViews>
    <sheetView zoomScaleNormal="100" workbookViewId="0"/>
  </sheetViews>
  <sheetFormatPr defaultColWidth="0" defaultRowHeight="12.75" zeroHeight="1"/>
  <cols>
    <col min="1" max="1" width="20.85546875" customWidth="1"/>
    <col min="2" max="2" width="25.28515625" customWidth="1"/>
    <col min="3" max="3" width="78.28515625" customWidth="1"/>
    <col min="4" max="4" width="38.28515625" customWidth="1"/>
    <col min="5" max="15" width="9.140625" customWidth="1"/>
    <col min="16" max="60" width="9.140625" hidden="1" customWidth="1"/>
    <col min="61" max="16384" width="9.140625" hidden="1"/>
  </cols>
  <sheetData>
    <row r="1" spans="1:5" ht="19.5">
      <c r="A1" s="19" t="s">
        <v>40</v>
      </c>
    </row>
    <row r="2" spans="1:5"/>
    <row r="3" spans="1:5">
      <c r="B3" s="1" t="s">
        <v>41</v>
      </c>
    </row>
    <row r="4" spans="1:5">
      <c r="B4" s="6" t="s">
        <v>42</v>
      </c>
      <c r="C4" s="7" t="s">
        <v>43</v>
      </c>
      <c r="D4" t="s">
        <v>44</v>
      </c>
    </row>
    <row r="5" spans="1:5">
      <c r="A5" s="14" t="s">
        <v>45</v>
      </c>
      <c r="B5" s="8" t="s">
        <v>46</v>
      </c>
      <c r="C5" s="1" t="s">
        <v>47</v>
      </c>
      <c r="D5" t="s">
        <v>48</v>
      </c>
    </row>
    <row r="6" spans="1:5">
      <c r="A6" s="14">
        <v>0</v>
      </c>
      <c r="B6" s="9" t="e">
        <f ca="1">FilterXMLWebservice("http://geodata.nationaalgeoregister.nl/locatieserver/v3/suggest?wt=xml&amp;q=7334%20DP%20701","//str["&amp;Tabel7[[#This Row],[VolgnrXML]]&amp;"]/@name")</f>
        <v>#NAME?</v>
      </c>
      <c r="C6" s="14" t="e">
        <f ca="1">FilterXMLWebservice("http://geodata.nationaalgeoregister.nl/locatieserver/v3/suggest?wt=xml&amp;q=7334 DP 701","//str[@name='"&amp;B6&amp;"']")</f>
        <v>#NAME?</v>
      </c>
    </row>
    <row r="7" spans="1:5">
      <c r="A7">
        <v>1</v>
      </c>
      <c r="B7" t="e">
        <f ca="1">FilterXMLWebservice("http://geodata.nationaalgeoregister.nl/locatieserver/v3/suggest?wt=xml&amp;q=7334%20DP%20701","//str["&amp;Tabel7[[#This Row],[VolgnrXML]]&amp;"]/@name")</f>
        <v>#NAME?</v>
      </c>
      <c r="C7" t="e">
        <f ca="1">FilterXMLWebservice("http://geodata.nationaalgeoregister.nl/locatieserver/v3/suggest?wt=xml&amp;q=7334 DP 701","//str[@name='"&amp;B7&amp;"']")</f>
        <v>#NAME?</v>
      </c>
      <c r="D7" s="14" t="s">
        <v>49</v>
      </c>
    </row>
    <row r="8" spans="1:5">
      <c r="A8">
        <v>2</v>
      </c>
      <c r="B8" t="e">
        <f ca="1">FilterXMLWebservice("http://geodata.nationaalgeoregister.nl/locatieserver/v3/suggest?wt=xml&amp;q=7334%20DP%20701","//str["&amp;Tabel7[[#This Row],[VolgnrXML]]&amp;"]/@name")</f>
        <v>#NAME?</v>
      </c>
      <c r="C8" t="e">
        <f ca="1">FilterXMLWebservice("http://geodata.nationaalgeoregister.nl/locatieserver/v3/suggest?wt=xml&amp;q=7334 DP 701","//str[@name='"&amp;B8&amp;"']")</f>
        <v>#NAME?</v>
      </c>
      <c r="D8" s="14" t="s">
        <v>50</v>
      </c>
    </row>
    <row r="9" spans="1:5"/>
    <row r="10" spans="1:5">
      <c r="B10" s="8" t="s">
        <v>51</v>
      </c>
    </row>
    <row r="11" spans="1:5">
      <c r="B11" s="10" t="s">
        <v>52</v>
      </c>
      <c r="C11" s="7" t="s">
        <v>53</v>
      </c>
      <c r="D11" s="14" t="s">
        <v>54</v>
      </c>
      <c r="E11" s="11"/>
    </row>
    <row r="12" spans="1:5">
      <c r="A12" s="14" t="s">
        <v>45</v>
      </c>
      <c r="B12" s="8" t="s">
        <v>46</v>
      </c>
      <c r="C12" s="1" t="s">
        <v>55</v>
      </c>
    </row>
    <row r="13" spans="1:5">
      <c r="A13">
        <v>0</v>
      </c>
      <c r="B13" t="e">
        <f ca="1">FilterXMLWebservice("http://geodata.nationaalgeoregister.nl/locatieserver/v3/lookup?wt=xml&amp;id="&amp;$C$8,"//doc/str["&amp;Tabel6[[#This Row],[VolgnrXML]]&amp;"]/@name")</f>
        <v>#NAME?</v>
      </c>
      <c r="C13" s="22" t="e">
        <f ca="1">FilterXMLWebservice("http://geodata.nationaalgeoregister.nl/locatieserver/v3/lookup?wt=xml&amp;id="&amp;$C$8,"//doc/str[@name='"&amp;Tabel6[[#This Row],[@name]]&amp;"']")</f>
        <v>#NAME?</v>
      </c>
    </row>
    <row r="14" spans="1:5">
      <c r="A14">
        <v>1</v>
      </c>
      <c r="B14" t="e">
        <f ca="1">FilterXMLWebservice("http://geodata.nationaalgeoregister.nl/locatieserver/v3/lookup?wt=xml&amp;id="&amp;$C$8,"//doc/str["&amp;Tabel6[[#This Row],[VolgnrXML]]&amp;"]/@name")</f>
        <v>#NAME?</v>
      </c>
      <c r="C14" s="22" t="e">
        <f ca="1">FilterXMLWebservice("http://geodata.nationaalgeoregister.nl/locatieserver/v3/lookup?wt=xml&amp;id="&amp;$C$8,"//doc/str[@name='"&amp;Tabel6[[#This Row],[@name]]&amp;"']")</f>
        <v>#NAME?</v>
      </c>
    </row>
    <row r="15" spans="1:5">
      <c r="A15">
        <v>2</v>
      </c>
      <c r="B15" t="e">
        <f ca="1">FilterXMLWebservice("http://geodata.nationaalgeoregister.nl/locatieserver/v3/lookup?wt=xml&amp;id="&amp;$C$8,"//doc/str["&amp;Tabel6[[#This Row],[VolgnrXML]]&amp;"]/@name")</f>
        <v>#NAME?</v>
      </c>
      <c r="C15" s="22" t="e">
        <f ca="1">FilterXMLWebservice("http://geodata.nationaalgeoregister.nl/locatieserver/v3/lookup?wt=xml&amp;id="&amp;$C$8,"//doc/str[@name='"&amp;Tabel6[[#This Row],[@name]]&amp;"']")</f>
        <v>#NAME?</v>
      </c>
    </row>
    <row r="16" spans="1:5">
      <c r="A16">
        <v>3</v>
      </c>
      <c r="B16" t="e">
        <f ca="1">FilterXMLWebservice("http://geodata.nationaalgeoregister.nl/locatieserver/v3/lookup?wt=xml&amp;id="&amp;$C$8,"//doc/str["&amp;Tabel6[[#This Row],[VolgnrXML]]&amp;"]/@name")</f>
        <v>#NAME?</v>
      </c>
      <c r="C16" s="22" t="e">
        <f ca="1">FilterXMLWebservice("http://geodata.nationaalgeoregister.nl/locatieserver/v3/lookup?wt=xml&amp;id="&amp;$C$8,"//doc/str[@name='"&amp;Tabel6[[#This Row],[@name]]&amp;"']")</f>
        <v>#NAME?</v>
      </c>
    </row>
    <row r="17" spans="1:3">
      <c r="A17">
        <v>4</v>
      </c>
      <c r="B17" t="e">
        <f ca="1">FilterXMLWebservice("http://geodata.nationaalgeoregister.nl/locatieserver/v3/lookup?wt=xml&amp;id="&amp;$C$8,"//doc/str["&amp;Tabel6[[#This Row],[VolgnrXML]]&amp;"]/@name")</f>
        <v>#NAME?</v>
      </c>
      <c r="C17" s="22" t="e">
        <f ca="1">FilterXMLWebservice("http://geodata.nationaalgeoregister.nl/locatieserver/v3/lookup?wt=xml&amp;id="&amp;$C$8,"//doc/str[@name='"&amp;Tabel6[[#This Row],[@name]]&amp;"']")</f>
        <v>#NAME?</v>
      </c>
    </row>
    <row r="18" spans="1:3">
      <c r="A18">
        <v>5</v>
      </c>
      <c r="B18" t="e">
        <f ca="1">FilterXMLWebservice("http://geodata.nationaalgeoregister.nl/locatieserver/v3/lookup?wt=xml&amp;id="&amp;$C$8,"//doc/str["&amp;Tabel6[[#This Row],[VolgnrXML]]&amp;"]/@name")</f>
        <v>#NAME?</v>
      </c>
      <c r="C18" s="22" t="e">
        <f ca="1">FilterXMLWebservice("http://geodata.nationaalgeoregister.nl/locatieserver/v3/lookup?wt=xml&amp;id="&amp;$C$8,"//doc/str[@name='"&amp;Tabel6[[#This Row],[@name]]&amp;"']")</f>
        <v>#NAME?</v>
      </c>
    </row>
    <row r="19" spans="1:3">
      <c r="A19">
        <v>6</v>
      </c>
      <c r="B19" t="e">
        <f ca="1">FilterXMLWebservice("http://geodata.nationaalgeoregister.nl/locatieserver/v3/lookup?wt=xml&amp;id="&amp;$C$8,"//doc/str["&amp;Tabel6[[#This Row],[VolgnrXML]]&amp;"]/@name")</f>
        <v>#NAME?</v>
      </c>
      <c r="C19" s="22" t="e">
        <f ca="1">FilterXMLWebservice("http://geodata.nationaalgeoregister.nl/locatieserver/v3/lookup?wt=xml&amp;id="&amp;$C$8,"//doc/str[@name='"&amp;Tabel6[[#This Row],[@name]]&amp;"']")</f>
        <v>#NAME?</v>
      </c>
    </row>
    <row r="20" spans="1:3">
      <c r="A20">
        <v>7</v>
      </c>
      <c r="B20" t="e">
        <f ca="1">FilterXMLWebservice("http://geodata.nationaalgeoregister.nl/locatieserver/v3/lookup?wt=xml&amp;id="&amp;$C$8,"//doc/str["&amp;Tabel6[[#This Row],[VolgnrXML]]&amp;"]/@name")</f>
        <v>#NAME?</v>
      </c>
      <c r="C20" s="22" t="e">
        <f ca="1">FilterXMLWebservice("http://geodata.nationaalgeoregister.nl/locatieserver/v3/lookup?wt=xml&amp;id="&amp;$C$8,"//doc/str[@name='"&amp;Tabel6[[#This Row],[@name]]&amp;"']")</f>
        <v>#NAME?</v>
      </c>
    </row>
    <row r="21" spans="1:3">
      <c r="A21">
        <v>8</v>
      </c>
      <c r="B21" t="e">
        <f ca="1">FilterXMLWebservice("http://geodata.nationaalgeoregister.nl/locatieserver/v3/lookup?wt=xml&amp;id="&amp;$C$8,"//doc/str["&amp;Tabel6[[#This Row],[VolgnrXML]]&amp;"]/@name")</f>
        <v>#NAME?</v>
      </c>
      <c r="C21" s="22" t="e">
        <f ca="1">FilterXMLWebservice("http://geodata.nationaalgeoregister.nl/locatieserver/v3/lookup?wt=xml&amp;id="&amp;$C$8,"//doc/str[@name='"&amp;Tabel6[[#This Row],[@name]]&amp;"']")</f>
        <v>#NAME?</v>
      </c>
    </row>
    <row r="22" spans="1:3">
      <c r="A22">
        <v>9</v>
      </c>
      <c r="B22" t="e">
        <f ca="1">FilterXMLWebservice("http://geodata.nationaalgeoregister.nl/locatieserver/v3/lookup?wt=xml&amp;id="&amp;$C$8,"//doc/str["&amp;Tabel6[[#This Row],[VolgnrXML]]&amp;"]/@name")</f>
        <v>#NAME?</v>
      </c>
      <c r="C22" s="22" t="e">
        <f ca="1">FilterXMLWebservice("http://geodata.nationaalgeoregister.nl/locatieserver/v3/lookup?wt=xml&amp;id="&amp;$C$8,"//doc/str[@name='"&amp;Tabel6[[#This Row],[@name]]&amp;"']")</f>
        <v>#NAME?</v>
      </c>
    </row>
    <row r="23" spans="1:3">
      <c r="A23">
        <v>10</v>
      </c>
      <c r="B23" t="e">
        <f ca="1">FilterXMLWebservice("http://geodata.nationaalgeoregister.nl/locatieserver/v3/lookup?wt=xml&amp;id="&amp;$C$8,"//doc/str["&amp;Tabel6[[#This Row],[VolgnrXML]]&amp;"]/@name")</f>
        <v>#NAME?</v>
      </c>
      <c r="C23" s="22" t="e">
        <f ca="1">FilterXMLWebservice("http://geodata.nationaalgeoregister.nl/locatieserver/v3/lookup?wt=xml&amp;id="&amp;$C$8,"//doc/str[@name='"&amp;Tabel6[[#This Row],[@name]]&amp;"']")</f>
        <v>#NAME?</v>
      </c>
    </row>
    <row r="24" spans="1:3">
      <c r="A24">
        <v>11</v>
      </c>
      <c r="B24" t="e">
        <f ca="1">FilterXMLWebservice("http://geodata.nationaalgeoregister.nl/locatieserver/v3/lookup?wt=xml&amp;id="&amp;$C$8,"//doc/str["&amp;Tabel6[[#This Row],[VolgnrXML]]&amp;"]/@name")</f>
        <v>#NAME?</v>
      </c>
      <c r="C24" s="22" t="e">
        <f ca="1">FilterXMLWebservice("http://geodata.nationaalgeoregister.nl/locatieserver/v3/lookup?wt=xml&amp;id="&amp;$C$8,"//doc/str[@name='"&amp;Tabel6[[#This Row],[@name]]&amp;"']")</f>
        <v>#NAME?</v>
      </c>
    </row>
    <row r="25" spans="1:3">
      <c r="A25">
        <v>12</v>
      </c>
      <c r="B25" t="e">
        <f ca="1">FilterXMLWebservice("http://geodata.nationaalgeoregister.nl/locatieserver/v3/lookup?wt=xml&amp;id="&amp;$C$8,"//doc/str["&amp;Tabel6[[#This Row],[VolgnrXML]]&amp;"]/@name")</f>
        <v>#NAME?</v>
      </c>
      <c r="C25" s="22" t="e">
        <f ca="1">FilterXMLWebservice("http://geodata.nationaalgeoregister.nl/locatieserver/v3/lookup?wt=xml&amp;id="&amp;$C$8,"//doc/str[@name='"&amp;Tabel6[[#This Row],[@name]]&amp;"']")</f>
        <v>#NAME?</v>
      </c>
    </row>
    <row r="26" spans="1:3">
      <c r="A26">
        <v>13</v>
      </c>
      <c r="B26" t="e">
        <f ca="1">FilterXMLWebservice("http://geodata.nationaalgeoregister.nl/locatieserver/v3/lookup?wt=xml&amp;id="&amp;$C$8,"//doc/str["&amp;Tabel6[[#This Row],[VolgnrXML]]&amp;"]/@name")</f>
        <v>#NAME?</v>
      </c>
      <c r="C26" s="22" t="e">
        <f ca="1">FilterXMLWebservice("http://geodata.nationaalgeoregister.nl/locatieserver/v3/lookup?wt=xml&amp;id="&amp;$C$8,"//doc/str[@name='"&amp;Tabel6[[#This Row],[@name]]&amp;"']")</f>
        <v>#NAME?</v>
      </c>
    </row>
    <row r="27" spans="1:3">
      <c r="A27">
        <v>14</v>
      </c>
      <c r="B27" t="e">
        <f ca="1">FilterXMLWebservice("http://geodata.nationaalgeoregister.nl/locatieserver/v3/lookup?wt=xml&amp;id="&amp;$C$8,"//doc/str["&amp;Tabel6[[#This Row],[VolgnrXML]]&amp;"]/@name")</f>
        <v>#NAME?</v>
      </c>
      <c r="C27" s="22" t="e">
        <f ca="1">FilterXMLWebservice("http://geodata.nationaalgeoregister.nl/locatieserver/v3/lookup?wt=xml&amp;id="&amp;$C$8,"//doc/str[@name='"&amp;Tabel6[[#This Row],[@name]]&amp;"']")</f>
        <v>#NAME?</v>
      </c>
    </row>
    <row r="28" spans="1:3">
      <c r="A28">
        <v>15</v>
      </c>
      <c r="B28" t="e">
        <f ca="1">FilterXMLWebservice("http://geodata.nationaalgeoregister.nl/locatieserver/v3/lookup?wt=xml&amp;id="&amp;$C$8,"//doc/str["&amp;Tabel6[[#This Row],[VolgnrXML]]&amp;"]/@name")</f>
        <v>#NAME?</v>
      </c>
      <c r="C28" s="22" t="e">
        <f ca="1">FilterXMLWebservice("http://geodata.nationaalgeoregister.nl/locatieserver/v3/lookup?wt=xml&amp;id="&amp;$C$8,"//doc/str[@name='"&amp;Tabel6[[#This Row],[@name]]&amp;"']")</f>
        <v>#NAME?</v>
      </c>
    </row>
    <row r="29" spans="1:3">
      <c r="A29">
        <v>16</v>
      </c>
      <c r="B29" t="e">
        <f ca="1">FilterXMLWebservice("http://geodata.nationaalgeoregister.nl/locatieserver/v3/lookup?wt=xml&amp;id="&amp;$C$8,"//doc/str["&amp;Tabel6[[#This Row],[VolgnrXML]]&amp;"]/@name")</f>
        <v>#NAME?</v>
      </c>
      <c r="C29" s="22" t="e">
        <f ca="1">FilterXMLWebservice("http://geodata.nationaalgeoregister.nl/locatieserver/v3/lookup?wt=xml&amp;id="&amp;$C$8,"//doc/str[@name='"&amp;Tabel6[[#This Row],[@name]]&amp;"']")</f>
        <v>#NAME?</v>
      </c>
    </row>
    <row r="30" spans="1:3">
      <c r="A30">
        <v>17</v>
      </c>
      <c r="B30" t="e">
        <f ca="1">FilterXMLWebservice("http://geodata.nationaalgeoregister.nl/locatieserver/v3/lookup?wt=xml&amp;id="&amp;$C$8,"//doc/str["&amp;Tabel6[[#This Row],[VolgnrXML]]&amp;"]/@name")</f>
        <v>#NAME?</v>
      </c>
      <c r="C30" s="22" t="e">
        <f ca="1">FilterXMLWebservice("http://geodata.nationaalgeoregister.nl/locatieserver/v3/lookup?wt=xml&amp;id="&amp;$C$8,"//doc/str[@name='"&amp;Tabel6[[#This Row],[@name]]&amp;"']")</f>
        <v>#NAME?</v>
      </c>
    </row>
    <row r="31" spans="1:3">
      <c r="A31">
        <v>18</v>
      </c>
      <c r="B31" t="e">
        <f ca="1">FilterXMLWebservice("http://geodata.nationaalgeoregister.nl/locatieserver/v3/lookup?wt=xml&amp;id="&amp;$C$8,"//doc/str["&amp;Tabel6[[#This Row],[VolgnrXML]]&amp;"]/@name")</f>
        <v>#NAME?</v>
      </c>
      <c r="C31" s="22" t="e">
        <f ca="1">FilterXMLWebservice("http://geodata.nationaalgeoregister.nl/locatieserver/v3/lookup?wt=xml&amp;id="&amp;$C$8,"//doc/str[@name='"&amp;Tabel6[[#This Row],[@name]]&amp;"']")</f>
        <v>#NAME?</v>
      </c>
    </row>
    <row r="32" spans="1:3">
      <c r="A32">
        <v>19</v>
      </c>
      <c r="B32" t="e">
        <f ca="1">FilterXMLWebservice("http://geodata.nationaalgeoregister.nl/locatieserver/v3/lookup?wt=xml&amp;id="&amp;$C$8,"//doc/str["&amp;Tabel6[[#This Row],[VolgnrXML]]&amp;"]/@name")</f>
        <v>#NAME?</v>
      </c>
      <c r="C32" s="22" t="e">
        <f ca="1">FilterXMLWebservice("http://geodata.nationaalgeoregister.nl/locatieserver/v3/lookup?wt=xml&amp;id="&amp;$C$8,"//doc/str[@name='"&amp;Tabel6[[#This Row],[@name]]&amp;"']")</f>
        <v>#NAME?</v>
      </c>
    </row>
    <row r="33" spans="1:3">
      <c r="A33">
        <v>20</v>
      </c>
      <c r="B33" t="e">
        <f ca="1">FilterXMLWebservice("http://geodata.nationaalgeoregister.nl/locatieserver/v3/lookup?wt=xml&amp;id="&amp;$C$8,"//doc/str["&amp;Tabel6[[#This Row],[VolgnrXML]]&amp;"]/@name")</f>
        <v>#NAME?</v>
      </c>
      <c r="C33" s="22" t="e">
        <f ca="1">FilterXMLWebservice("http://geodata.nationaalgeoregister.nl/locatieserver/v3/lookup?wt=xml&amp;id="&amp;$C$8,"//doc/str[@name='"&amp;Tabel6[[#This Row],[@name]]&amp;"']")</f>
        <v>#NAME?</v>
      </c>
    </row>
    <row r="34" spans="1:3">
      <c r="A34">
        <v>21</v>
      </c>
      <c r="B34" t="e">
        <f ca="1">FilterXMLWebservice("http://geodata.nationaalgeoregister.nl/locatieserver/v3/lookup?wt=xml&amp;id="&amp;$C$8,"//doc/str["&amp;Tabel6[[#This Row],[VolgnrXML]]&amp;"]/@name")</f>
        <v>#NAME?</v>
      </c>
      <c r="C34" s="22" t="e">
        <f ca="1">FilterXMLWebservice("http://geodata.nationaalgeoregister.nl/locatieserver/v3/lookup?wt=xml&amp;id="&amp;$C$8,"//doc/str[@name='"&amp;Tabel6[[#This Row],[@name]]&amp;"']")</f>
        <v>#NAME?</v>
      </c>
    </row>
    <row r="35" spans="1:3">
      <c r="A35">
        <v>22</v>
      </c>
      <c r="B35" t="e">
        <f ca="1">FilterXMLWebservice("http://geodata.nationaalgeoregister.nl/locatieserver/v3/lookup?wt=xml&amp;id="&amp;$C$8,"//doc/str["&amp;Tabel6[[#This Row],[VolgnrXML]]&amp;"]/@name")</f>
        <v>#NAME?</v>
      </c>
      <c r="C35" s="22" t="e">
        <f ca="1">FilterXMLWebservice("http://geodata.nationaalgeoregister.nl/locatieserver/v3/lookup?wt=xml&amp;id="&amp;$C$8,"//doc/str[@name='"&amp;Tabel6[[#This Row],[@name]]&amp;"']")</f>
        <v>#NAME?</v>
      </c>
    </row>
    <row r="36" spans="1:3">
      <c r="A36">
        <v>23</v>
      </c>
      <c r="B36" t="e">
        <f ca="1">FilterXMLWebservice("http://geodata.nationaalgeoregister.nl/locatieserver/v3/lookup?wt=xml&amp;id="&amp;$C$8,"//doc/str["&amp;Tabel6[[#This Row],[VolgnrXML]]&amp;"]/@name")</f>
        <v>#NAME?</v>
      </c>
      <c r="C36" s="22" t="e">
        <f ca="1">FilterXMLWebservice("http://geodata.nationaalgeoregister.nl/locatieserver/v3/lookup?wt=xml&amp;id="&amp;$C$8,"//doc/str[@name='"&amp;Tabel6[[#This Row],[@name]]&amp;"']")</f>
        <v>#NAME?</v>
      </c>
    </row>
    <row r="37" spans="1:3">
      <c r="A37">
        <v>24</v>
      </c>
      <c r="B37" t="e">
        <f ca="1">FilterXMLWebservice("http://geodata.nationaalgeoregister.nl/locatieserver/v3/lookup?wt=xml&amp;id="&amp;$C$8,"//doc/str["&amp;Tabel6[[#This Row],[VolgnrXML]]&amp;"]/@name")</f>
        <v>#NAME?</v>
      </c>
      <c r="C37" s="22" t="e">
        <f ca="1">FilterXMLWebservice("http://geodata.nationaalgeoregister.nl/locatieserver/v3/lookup?wt=xml&amp;id="&amp;$C$8,"//doc/str[@name='"&amp;Tabel6[[#This Row],[@name]]&amp;"']")</f>
        <v>#NAME?</v>
      </c>
    </row>
    <row r="38" spans="1:3">
      <c r="A38">
        <v>25</v>
      </c>
      <c r="B38" t="e">
        <f ca="1">FilterXMLWebservice("http://geodata.nationaalgeoregister.nl/locatieserver/v3/lookup?wt=xml&amp;id="&amp;$C$8,"//doc/str["&amp;Tabel6[[#This Row],[VolgnrXML]]&amp;"]/@name")</f>
        <v>#NAME?</v>
      </c>
      <c r="C38" s="22" t="e">
        <f ca="1">FilterXMLWebservice("http://geodata.nationaalgeoregister.nl/locatieserver/v3/lookup?wt=xml&amp;id="&amp;$C$8,"//doc/str[@name='"&amp;Tabel6[[#This Row],[@name]]&amp;"']")</f>
        <v>#NAME?</v>
      </c>
    </row>
    <row r="39" spans="1:3">
      <c r="A39">
        <v>26</v>
      </c>
      <c r="B39" t="e">
        <f ca="1">FilterXMLWebservice("http://geodata.nationaalgeoregister.nl/locatieserver/v3/lookup?wt=xml&amp;id="&amp;$C$8,"//doc/str["&amp;Tabel6[[#This Row],[VolgnrXML]]&amp;"]/@name")</f>
        <v>#NAME?</v>
      </c>
      <c r="C39" s="22" t="e">
        <f ca="1">FilterXMLWebservice("http://geodata.nationaalgeoregister.nl/locatieserver/v3/lookup?wt=xml&amp;id="&amp;$C$8,"//doc/str[@name='"&amp;Tabel6[[#This Row],[@name]]&amp;"']")</f>
        <v>#NAME?</v>
      </c>
    </row>
    <row r="40" spans="1:3">
      <c r="A40">
        <v>27</v>
      </c>
      <c r="B40" t="e">
        <f ca="1">FilterXMLWebservice("http://geodata.nationaalgeoregister.nl/locatieserver/v3/lookup?wt=xml&amp;id="&amp;$C$8,"//doc/str["&amp;Tabel6[[#This Row],[VolgnrXML]]&amp;"]/@name")</f>
        <v>#NAME?</v>
      </c>
      <c r="C40" s="22" t="e">
        <f ca="1">FilterXMLWebservice("http://geodata.nationaalgeoregister.nl/locatieserver/v3/lookup?wt=xml&amp;id="&amp;$C$8,"//doc/str[@name='"&amp;Tabel6[[#This Row],[@name]]&amp;"']")</f>
        <v>#NAME?</v>
      </c>
    </row>
    <row r="41" spans="1:3">
      <c r="A41">
        <v>28</v>
      </c>
      <c r="B41" t="e">
        <f ca="1">FilterXMLWebservice("http://geodata.nationaalgeoregister.nl/locatieserver/v3/lookup?wt=xml&amp;id="&amp;$C$8,"//doc/str["&amp;Tabel6[[#This Row],[VolgnrXML]]&amp;"]/@name")</f>
        <v>#NAME?</v>
      </c>
      <c r="C41" s="22" t="e">
        <f ca="1">FilterXMLWebservice("http://geodata.nationaalgeoregister.nl/locatieserver/v3/lookup?wt=xml&amp;id="&amp;$C$8,"//doc/str[@name='"&amp;Tabel6[[#This Row],[@name]]&amp;"']")</f>
        <v>#NAME?</v>
      </c>
    </row>
    <row r="42" spans="1:3"/>
    <row r="43" spans="1:3"/>
    <row r="44" spans="1:3"/>
    <row r="45" spans="1:3"/>
    <row r="46" spans="1:3"/>
    <row r="47" spans="1:3"/>
    <row r="48" spans="1:3"/>
    <row r="49"/>
    <row r="50"/>
    <row r="51"/>
    <row r="52"/>
    <row r="53"/>
    <row r="54"/>
    <row r="55"/>
    <row r="56"/>
    <row r="57"/>
    <row r="58"/>
    <row r="59"/>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row r="103"/>
    <row r="104"/>
    <row r="105" hidden="1"/>
  </sheetData>
  <hyperlinks>
    <hyperlink ref="C4" r:id="rId1" xr:uid="{00000000-0004-0000-0100-000000000000}"/>
    <hyperlink ref="C7" r:id="rId2" display="http://geodata.nationaalgeoregister.nl/locatieserver/v3/suggest?wt=xml&amp;q=3818%20LH%2010" xr:uid="{00000000-0004-0000-0100-000001000000}"/>
    <hyperlink ref="C11" r:id="rId3" xr:uid="{00000000-0004-0000-0100-000002000000}"/>
    <hyperlink ref="C8" r:id="rId4" display="http://geodata.nationaalgeoregister.nl/locatieserver/v3/suggest?wt=xml&amp;q=3818%20LH%2010" xr:uid="{00000000-0004-0000-0100-000003000000}"/>
  </hyperlinks>
  <pageMargins left="0.7" right="0.7" top="0.75" bottom="0.75" header="0.3" footer="0.3"/>
  <legacyDrawing r:id="rId5"/>
  <tableParts count="2">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DocBRK"/>
  <dimension ref="A1:G18"/>
  <sheetViews>
    <sheetView zoomScaleNormal="100" workbookViewId="0">
      <pane ySplit="13" topLeftCell="A14" activePane="bottomLeft" state="frozen"/>
      <selection pane="bottomLeft"/>
    </sheetView>
  </sheetViews>
  <sheetFormatPr defaultRowHeight="12.75"/>
  <cols>
    <col min="1" max="1" width="20.5703125" customWidth="1"/>
    <col min="2" max="2" width="7.28515625" customWidth="1"/>
    <col min="3" max="3" width="14.140625" customWidth="1"/>
    <col min="4" max="4" width="41.85546875" bestFit="1" customWidth="1"/>
    <col min="5" max="5" width="13.85546875" customWidth="1"/>
  </cols>
  <sheetData>
    <row r="1" spans="1:7" ht="19.5">
      <c r="A1" s="19" t="s">
        <v>56</v>
      </c>
      <c r="B1" s="13"/>
      <c r="C1" s="14"/>
      <c r="D1" s="12"/>
      <c r="E1" s="3"/>
      <c r="F1" s="3" t="s">
        <v>2</v>
      </c>
    </row>
    <row r="2" spans="1:7" ht="18">
      <c r="A2" s="14" t="s">
        <v>57</v>
      </c>
      <c r="B2" s="13"/>
      <c r="C2" s="14"/>
      <c r="D2" s="12"/>
      <c r="E2" s="3"/>
      <c r="F2" s="3"/>
    </row>
    <row r="3" spans="1:7" ht="18">
      <c r="A3" s="14" t="s">
        <v>58</v>
      </c>
      <c r="B3" s="13"/>
      <c r="C3" s="14"/>
      <c r="D3" s="12"/>
      <c r="E3" s="3"/>
      <c r="F3" s="3"/>
    </row>
    <row r="4" spans="1:7">
      <c r="A4" s="14" t="s">
        <v>59</v>
      </c>
      <c r="B4" s="15" t="s">
        <v>60</v>
      </c>
      <c r="C4" s="12"/>
    </row>
    <row r="5" spans="1:7">
      <c r="B5" s="20" t="s">
        <v>61</v>
      </c>
      <c r="C5" s="12"/>
    </row>
    <row r="6" spans="1:7">
      <c r="B6" s="20" t="s">
        <v>62</v>
      </c>
      <c r="C6" s="12"/>
    </row>
    <row r="7" spans="1:7">
      <c r="B7" s="20" t="s">
        <v>63</v>
      </c>
      <c r="C7" s="12"/>
    </row>
    <row r="8" spans="1:7">
      <c r="B8" s="15" t="s">
        <v>64</v>
      </c>
      <c r="C8" s="12"/>
    </row>
    <row r="9" spans="1:7">
      <c r="B9" s="15" t="s">
        <v>65</v>
      </c>
      <c r="C9" s="12"/>
    </row>
    <row r="10" spans="1:7">
      <c r="B10" s="15" t="s">
        <v>66</v>
      </c>
      <c r="C10" s="12"/>
    </row>
    <row r="11" spans="1:7" ht="14.25">
      <c r="A11" s="16"/>
      <c r="B11" s="16"/>
      <c r="C11" s="16"/>
      <c r="D11" s="17"/>
      <c r="E11" s="17"/>
    </row>
    <row r="12" spans="1:7">
      <c r="A12" t="s">
        <v>67</v>
      </c>
      <c r="B12" t="s">
        <v>14</v>
      </c>
    </row>
    <row r="13" spans="1:7">
      <c r="A13" t="s">
        <v>68</v>
      </c>
      <c r="B13" s="14" t="s">
        <v>69</v>
      </c>
      <c r="C13" s="14" t="s">
        <v>70</v>
      </c>
      <c r="D13" t="s">
        <v>71</v>
      </c>
      <c r="E13" t="s">
        <v>72</v>
      </c>
      <c r="F13" t="s">
        <v>73</v>
      </c>
      <c r="G13" t="s">
        <v>74</v>
      </c>
    </row>
    <row r="14" spans="1:7">
      <c r="A14" t="s">
        <v>75</v>
      </c>
      <c r="B14" s="21" t="str">
        <f>HYPERLINK("https://geodata.nationaalgeoregister.nl/locatieserver/v3/free?rows=1&amp;wt=xml&amp;fq=bron:DKK&amp;q="&amp;Tabel3[[#This Row],[Kadastraal Nr]])</f>
        <v>https://geodata.nationaalgeoregister.nl/locatieserver/v3/free?rows=1&amp;wt=xml&amp;fq=bron:DKK&amp;q=ZVB00 O 2204</v>
      </c>
      <c r="C14" t="e">
        <f ca="1">LegacyWebservice(Tabel3[[#This Row],[request]])</f>
        <v>#NAME?</v>
      </c>
      <c r="D14" t="e">
        <f ca="1">legacyfilterxml(Tabel3[[#This Row],[result]],"//doc/str[@name='weergavenaam']")</f>
        <v>#NAME?</v>
      </c>
      <c r="E14" t="e">
        <f ca="1">FilterXMLWebservice("https://geodata.nationaalgeoregister.nl/locatieserver/v3/free?rows=1&amp;wt=xml&amp;fq=bron:DKK&amp;q="&amp;Tabel3[[#This Row],[Kadastraal Nr]],"//doc/str[@name='centroide_ll']")</f>
        <v>#NAME?</v>
      </c>
      <c r="F14" t="e">
        <f t="shared" ref="F14:F18" ca="1" si="0">_xludf.NumberValue(MID(E14,FIND("(",E14)+1,FIND(" ",E14)-FIND("(",E14)-1),".")</f>
        <v>#NAME?</v>
      </c>
      <c r="G14" t="e">
        <f t="shared" ref="G14:G18" ca="1" si="1">_xludf.NumberValue(MID(E14,FIND(" ",E14)+1,FIND(")",E14)-(FIND(" ",E14)+1)),".")</f>
        <v>#NAME?</v>
      </c>
    </row>
    <row r="15" spans="1:7">
      <c r="A15" t="s">
        <v>76</v>
      </c>
      <c r="B15" s="21" t="str">
        <f>HYPERLINK("https://geodata.nationaalgeoregister.nl/locatieserver/v3/free?rows=1&amp;wt=xml&amp;fq=bron:DKK&amp;q="&amp;Tabel3[[#This Row],[Kadastraal Nr]])</f>
        <v>https://geodata.nationaalgeoregister.nl/locatieserver/v3/free?rows=1&amp;wt=xml&amp;fq=bron:DKK&amp;q=ZVB00 O 2203</v>
      </c>
      <c r="C15" t="e">
        <f ca="1">LegacyWebservice(Tabel3[[#This Row],[request]])</f>
        <v>#NAME?</v>
      </c>
      <c r="D15" t="e">
        <f ca="1">legacyfilterxml(Tabel3[[#This Row],[result]],"//doc/str[@name='weergavenaam']")</f>
        <v>#NAME?</v>
      </c>
      <c r="E15" t="e">
        <f ca="1">FilterXMLWebservice("https://geodata.nationaalgeoregister.nl/locatieserver/v3/free?rows=1&amp;wt=xml&amp;fq=bron:DKK&amp;q="&amp;Tabel3[[#This Row],[Kadastraal Nr]],"//doc/str[@name='centroide_ll']")</f>
        <v>#NAME?</v>
      </c>
      <c r="F15" t="e">
        <f t="shared" ca="1" si="0"/>
        <v>#NAME?</v>
      </c>
      <c r="G15" t="e">
        <f t="shared" ca="1" si="1"/>
        <v>#NAME?</v>
      </c>
    </row>
    <row r="16" spans="1:7">
      <c r="A16" t="s">
        <v>77</v>
      </c>
      <c r="B16" s="21" t="str">
        <f>HYPERLINK("https://geodata.nationaalgeoregister.nl/locatieserver/v3/free?rows=1&amp;wt=xml&amp;fq=bron:DKK&amp;q="&amp;Tabel3[[#This Row],[Kadastraal Nr]])</f>
        <v>https://geodata.nationaalgeoregister.nl/locatieserver/v3/free?rows=1&amp;wt=xml&amp;fq=bron:DKK&amp;q=ZLW00 K 193</v>
      </c>
      <c r="C16" t="e">
        <f ca="1">LegacyWebservice(Tabel3[[#This Row],[request]])</f>
        <v>#NAME?</v>
      </c>
      <c r="D16" t="e">
        <f ca="1">legacyfilterxml(Tabel3[[#This Row],[result]],"//doc/str[@name='weergavenaam']")</f>
        <v>#NAME?</v>
      </c>
      <c r="E16" t="e">
        <f ca="1">FilterXMLWebservice("https://geodata.nationaalgeoregister.nl/locatieserver/v3/free?rows=1&amp;wt=xml&amp;fq=bron:DKK&amp;q="&amp;Tabel3[[#This Row],[Kadastraal Nr]],"//doc/str[@name='centroide_ll']")</f>
        <v>#NAME?</v>
      </c>
      <c r="F16" t="e">
        <f t="shared" ca="1" si="0"/>
        <v>#NAME?</v>
      </c>
      <c r="G16" t="e">
        <f t="shared" ca="1" si="1"/>
        <v>#NAME?</v>
      </c>
    </row>
    <row r="17" spans="1:7">
      <c r="A17" t="s">
        <v>78</v>
      </c>
      <c r="B17" s="21" t="str">
        <f>HYPERLINK("https://geodata.nationaalgeoregister.nl/locatieserver/v3/free?rows=1&amp;wt=xml&amp;fq=bron:DKK&amp;q="&amp;Tabel3[[#This Row],[Kadastraal Nr]])</f>
        <v>https://geodata.nationaalgeoregister.nl/locatieserver/v3/free?rows=1&amp;wt=xml&amp;fq=bron:DKK&amp;q=KDT00 I 428</v>
      </c>
      <c r="C17" t="e">
        <f ca="1">LegacyWebservice(Tabel3[[#This Row],[request]])</f>
        <v>#NAME?</v>
      </c>
      <c r="D17" t="e">
        <f ca="1">legacyfilterxml(Tabel3[[#This Row],[result]],"//doc/str[@name='weergavenaam']")</f>
        <v>#NAME?</v>
      </c>
      <c r="E17" t="e">
        <f ca="1">FilterXMLWebservice("https://geodata.nationaalgeoregister.nl/locatieserver/v3/free?rows=1&amp;wt=xml&amp;fq=bron:DKK&amp;q="&amp;Tabel3[[#This Row],[Kadastraal Nr]],"//doc/str[@name='centroide_ll']")</f>
        <v>#NAME?</v>
      </c>
      <c r="F17" t="e">
        <f t="shared" ca="1" si="0"/>
        <v>#NAME?</v>
      </c>
      <c r="G17" t="e">
        <f t="shared" ca="1" si="1"/>
        <v>#NAME?</v>
      </c>
    </row>
    <row r="18" spans="1:7">
      <c r="A18" t="s">
        <v>79</v>
      </c>
      <c r="B18" s="21" t="str">
        <f>HYPERLINK("https://geodata.nationaalgeoregister.nl/locatieserver/v3/free?rows=1&amp;wt=xml&amp;fq=bron:DKK&amp;q="&amp;Tabel3[[#This Row],[Kadastraal Nr]])</f>
        <v>https://geodata.nationaalgeoregister.nl/locatieserver/v3/free?rows=1&amp;wt=xml&amp;fq=bron:DKK&amp;q=ZVB00 O 2230</v>
      </c>
      <c r="C18" t="e">
        <f ca="1">LegacyWebservice(Tabel3[[#This Row],[request]])</f>
        <v>#NAME?</v>
      </c>
      <c r="D18" t="e">
        <f ca="1">legacyfilterxml(Tabel3[[#This Row],[result]],"//doc/str[@name='weergavenaam']")</f>
        <v>#NAME?</v>
      </c>
      <c r="E18" t="e">
        <f ca="1">FilterXMLWebservice("https://geodata.nationaalgeoregister.nl/locatieserver/v3/free?rows=1&amp;wt=xml&amp;fq=bron:DKK&amp;q="&amp;Tabel3[[#This Row],[Kadastraal Nr]],"//doc/str[@name='centroide_ll']")</f>
        <v>#NAME?</v>
      </c>
      <c r="F18" t="e">
        <f t="shared" ca="1" si="0"/>
        <v>#NAME?</v>
      </c>
      <c r="G18" t="e">
        <f t="shared" ca="1" si="1"/>
        <v>#NAME?</v>
      </c>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Lookup2"/>
  <dimension ref="A1:J49"/>
  <sheetViews>
    <sheetView workbookViewId="0"/>
  </sheetViews>
  <sheetFormatPr defaultColWidth="0" defaultRowHeight="12.75" zeroHeight="1"/>
  <cols>
    <col min="1" max="1" width="14.28515625" customWidth="1"/>
    <col min="2" max="2" width="20.85546875" customWidth="1"/>
    <col min="3" max="3" width="90.28515625" customWidth="1"/>
    <col min="4" max="10" width="9.140625" customWidth="1"/>
    <col min="11" max="16384" width="9.140625" hidden="1"/>
  </cols>
  <sheetData>
    <row r="1" spans="1:5" ht="19.5">
      <c r="A1" s="19" t="s">
        <v>80</v>
      </c>
    </row>
    <row r="2" spans="1:5">
      <c r="A2" s="14" t="s">
        <v>81</v>
      </c>
      <c r="C2" s="14" t="s">
        <v>82</v>
      </c>
    </row>
    <row r="3" spans="1:5"/>
    <row r="4" spans="1:5" ht="18">
      <c r="A4" s="25" t="s">
        <v>83</v>
      </c>
      <c r="B4" s="13"/>
      <c r="C4" s="14"/>
      <c r="D4" s="7" t="s">
        <v>84</v>
      </c>
    </row>
    <row r="5" spans="1:5">
      <c r="A5" s="18" t="s">
        <v>85</v>
      </c>
      <c r="C5" s="14" t="s">
        <v>86</v>
      </c>
    </row>
    <row r="6" spans="1:5">
      <c r="A6" s="1" t="s">
        <v>87</v>
      </c>
      <c r="C6" s="14" t="s">
        <v>75</v>
      </c>
    </row>
    <row r="7" spans="1:5">
      <c r="A7" s="1"/>
    </row>
    <row r="8" spans="1:5">
      <c r="A8" s="1" t="s">
        <v>88</v>
      </c>
      <c r="B8" s="8" t="s">
        <v>46</v>
      </c>
      <c r="C8" s="1" t="s">
        <v>89</v>
      </c>
      <c r="E8" s="11"/>
    </row>
    <row r="9" spans="1:5">
      <c r="A9" s="23">
        <v>0</v>
      </c>
      <c r="B9" t="e">
        <f t="shared" ref="B9:B19" ca="1" si="0">FilterXMLWebservice(HYPERLINK("https://geodata.nationaalgeoregister.nl/locatieserver/v3/free?rows=1&amp;wt=xml&amp;fq=bron:DKK&amp;q="&amp;$C$6),"//doc/str["&amp;A9&amp;"]/@name")</f>
        <v>#NAME?</v>
      </c>
      <c r="C9" s="22" t="e">
        <f t="shared" ref="C9:C18" ca="1" si="1">FilterXMLWebservice("https://geodata.nationaalgeoregister.nl/locatieserver/v3/free?rows=1&amp;wt=xml&amp;fq=bron:DKK&amp;q="&amp;$C$6,"//doc/str[@name='"&amp;B9&amp;"']")</f>
        <v>#NAME?</v>
      </c>
      <c r="E9" s="11"/>
    </row>
    <row r="10" spans="1:5">
      <c r="A10" s="24">
        <v>1</v>
      </c>
      <c r="B10" t="e">
        <f t="shared" ca="1" si="0"/>
        <v>#NAME?</v>
      </c>
      <c r="C10" s="22" t="e">
        <f t="shared" ca="1" si="1"/>
        <v>#NAME?</v>
      </c>
    </row>
    <row r="11" spans="1:5">
      <c r="A11" s="24">
        <v>2</v>
      </c>
      <c r="B11" t="e">
        <f t="shared" ca="1" si="0"/>
        <v>#NAME?</v>
      </c>
      <c r="C11" s="22" t="e">
        <f t="shared" ca="1" si="1"/>
        <v>#NAME?</v>
      </c>
    </row>
    <row r="12" spans="1:5">
      <c r="A12" s="24">
        <v>3</v>
      </c>
      <c r="B12" t="e">
        <f t="shared" ca="1" si="0"/>
        <v>#NAME?</v>
      </c>
      <c r="C12" s="22" t="e">
        <f t="shared" ca="1" si="1"/>
        <v>#NAME?</v>
      </c>
    </row>
    <row r="13" spans="1:5">
      <c r="A13" s="24">
        <v>4</v>
      </c>
      <c r="B13" t="e">
        <f t="shared" ca="1" si="0"/>
        <v>#NAME?</v>
      </c>
      <c r="C13" s="22" t="e">
        <f t="shared" ca="1" si="1"/>
        <v>#NAME?</v>
      </c>
    </row>
    <row r="14" spans="1:5">
      <c r="A14" s="24">
        <v>5</v>
      </c>
      <c r="B14" t="e">
        <f t="shared" ca="1" si="0"/>
        <v>#NAME?</v>
      </c>
      <c r="C14" s="22" t="e">
        <f t="shared" ca="1" si="1"/>
        <v>#NAME?</v>
      </c>
    </row>
    <row r="15" spans="1:5">
      <c r="A15" s="24">
        <v>6</v>
      </c>
      <c r="B15" t="e">
        <f t="shared" ca="1" si="0"/>
        <v>#NAME?</v>
      </c>
      <c r="C15" s="22" t="e">
        <f t="shared" ca="1" si="1"/>
        <v>#NAME?</v>
      </c>
    </row>
    <row r="16" spans="1:5">
      <c r="A16" s="24">
        <v>7</v>
      </c>
      <c r="B16" t="e">
        <f t="shared" ca="1" si="0"/>
        <v>#NAME?</v>
      </c>
      <c r="C16" s="22" t="e">
        <f t="shared" ca="1" si="1"/>
        <v>#NAME?</v>
      </c>
    </row>
    <row r="17" spans="1:3">
      <c r="A17" s="24">
        <v>8</v>
      </c>
      <c r="B17" t="e">
        <f t="shared" ca="1" si="0"/>
        <v>#NAME?</v>
      </c>
      <c r="C17" s="22" t="e">
        <f t="shared" ca="1" si="1"/>
        <v>#NAME?</v>
      </c>
    </row>
    <row r="18" spans="1:3">
      <c r="A18" s="24">
        <v>9</v>
      </c>
      <c r="B18" t="e">
        <f t="shared" ca="1" si="0"/>
        <v>#NAME?</v>
      </c>
      <c r="C18" s="22" t="e">
        <f t="shared" ca="1" si="1"/>
        <v>#NAME?</v>
      </c>
    </row>
    <row r="19" spans="1:3">
      <c r="A19" s="12"/>
      <c r="B19" t="e">
        <f t="shared" ca="1" si="0"/>
        <v>#NAME?</v>
      </c>
      <c r="C19" s="11"/>
    </row>
    <row r="20" spans="1:3">
      <c r="A20" s="12"/>
      <c r="C20" s="11"/>
    </row>
    <row r="21" spans="1:3">
      <c r="A21" s="12"/>
      <c r="C21" s="11"/>
    </row>
    <row r="22" spans="1:3">
      <c r="A22" s="12"/>
      <c r="C22" s="11"/>
    </row>
    <row r="23" spans="1:3">
      <c r="A23" s="12"/>
      <c r="C23" s="11"/>
    </row>
    <row r="24" spans="1:3">
      <c r="A24" s="12"/>
      <c r="C24" s="11"/>
    </row>
    <row r="25" spans="1:3">
      <c r="A25" s="12"/>
      <c r="C25" s="11"/>
    </row>
    <row r="26" spans="1:3">
      <c r="A26" s="12"/>
      <c r="C26" s="11"/>
    </row>
    <row r="27" spans="1:3">
      <c r="A27" s="12"/>
      <c r="C27" s="11"/>
    </row>
    <row r="28" spans="1:3">
      <c r="A28" s="12"/>
      <c r="C28" s="11"/>
    </row>
    <row r="29" spans="1:3">
      <c r="A29" s="12"/>
      <c r="C29" s="11"/>
    </row>
    <row r="30" spans="1:3">
      <c r="A30" s="12"/>
      <c r="C30" s="11"/>
    </row>
    <row r="31" spans="1:3">
      <c r="A31" s="12"/>
      <c r="C31" s="11"/>
    </row>
    <row r="32" spans="1:3">
      <c r="A32" s="12"/>
      <c r="C32" s="11"/>
    </row>
    <row r="33" spans="1:3">
      <c r="A33" s="12"/>
      <c r="C33" s="11"/>
    </row>
    <row r="34" spans="1:3">
      <c r="A34" s="12"/>
      <c r="C34" s="11"/>
    </row>
    <row r="35" spans="1:3">
      <c r="A35" s="12"/>
      <c r="C35" s="11"/>
    </row>
    <row r="36" spans="1:3">
      <c r="A36" s="12"/>
      <c r="C36" s="11"/>
    </row>
    <row r="37" spans="1:3">
      <c r="A37" s="12"/>
      <c r="C37" s="11"/>
    </row>
    <row r="38" spans="1:3"/>
    <row r="39" spans="1:3"/>
    <row r="40" spans="1:3"/>
    <row r="41" spans="1:3"/>
    <row r="42" spans="1:3"/>
    <row r="43" spans="1:3"/>
    <row r="44" spans="1:3"/>
    <row r="45" spans="1:3"/>
    <row r="46" spans="1:3"/>
    <row r="47" spans="1:3"/>
    <row r="48" spans="1:3"/>
    <row r="49"/>
  </sheetData>
  <hyperlinks>
    <hyperlink ref="D4" r:id="rId1" xr:uid="{00000000-0004-0000-0300-000000000000}"/>
  </hyperlinks>
  <pageMargins left="0.7" right="0.7" top="0.75" bottom="0.75" header="0.3" footer="0.3"/>
  <legacy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 Online</Application>
  <Manager/>
  <Company>Cap Gemini Ernst &amp; Young</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Bert Veldman</dc:creator>
  <cp:keywords/>
  <dc:description/>
  <cp:lastModifiedBy>Toon Michel</cp:lastModifiedBy>
  <cp:revision/>
  <dcterms:created xsi:type="dcterms:W3CDTF">2003-04-01T19:02:52Z</dcterms:created>
  <dcterms:modified xsi:type="dcterms:W3CDTF">2020-04-16T09:13:10Z</dcterms:modified>
  <cp:category/>
  <cp:contentStatus/>
</cp:coreProperties>
</file>